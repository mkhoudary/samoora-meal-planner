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mkhoudary/Documents/"/>
    </mc:Choice>
  </mc:AlternateContent>
  <xr:revisionPtr revIDLastSave="0" documentId="8_{1C33ECAD-7D53-DF4B-AABB-12C1BA19C458}" xr6:coauthVersionLast="47" xr6:coauthVersionMax="47" xr10:uidLastSave="{00000000-0000-0000-0000-000000000000}"/>
  <bookViews>
    <workbookView xWindow="0" yWindow="660" windowWidth="34560" windowHeight="19880" xr2:uid="{00000000-000D-0000-FFFF-FFFF00000000}"/>
  </bookViews>
  <sheets>
    <sheet name="Meals" sheetId="1" r:id="rId1"/>
    <sheet name="Category Audi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8" i="1" l="1"/>
  <c r="J358" i="1"/>
  <c r="K357" i="1"/>
  <c r="J357" i="1"/>
  <c r="K356" i="1"/>
  <c r="J356" i="1"/>
  <c r="K355" i="1"/>
  <c r="J355" i="1"/>
  <c r="K354" i="1"/>
  <c r="J354" i="1"/>
  <c r="K353" i="1"/>
  <c r="J353" i="1"/>
  <c r="K352" i="1"/>
  <c r="J352" i="1"/>
  <c r="K351" i="1"/>
  <c r="J351" i="1"/>
  <c r="K350" i="1"/>
  <c r="J350" i="1"/>
  <c r="K349" i="1"/>
  <c r="J349" i="1"/>
  <c r="K348" i="1"/>
  <c r="J348" i="1"/>
  <c r="K347" i="1"/>
  <c r="J347" i="1"/>
  <c r="K346" i="1"/>
  <c r="J346" i="1"/>
  <c r="K345" i="1"/>
  <c r="J345" i="1"/>
  <c r="K344" i="1"/>
  <c r="J344" i="1"/>
  <c r="K343" i="1"/>
  <c r="J343" i="1"/>
  <c r="K342" i="1"/>
  <c r="J342" i="1"/>
  <c r="K341" i="1"/>
  <c r="J341" i="1"/>
  <c r="K340" i="1"/>
  <c r="J340" i="1"/>
  <c r="K339" i="1"/>
  <c r="J339" i="1"/>
  <c r="K338" i="1"/>
  <c r="J338" i="1"/>
  <c r="K337" i="1"/>
  <c r="J337" i="1"/>
  <c r="K336" i="1"/>
  <c r="J336" i="1"/>
  <c r="K335" i="1"/>
  <c r="J335" i="1"/>
  <c r="K334" i="1"/>
  <c r="J334" i="1"/>
  <c r="K333" i="1"/>
  <c r="J333" i="1"/>
  <c r="K332" i="1"/>
  <c r="J332" i="1"/>
  <c r="K331" i="1"/>
  <c r="J331" i="1"/>
  <c r="K330" i="1"/>
  <c r="J330" i="1"/>
  <c r="K329" i="1"/>
  <c r="J329" i="1"/>
  <c r="K328" i="1"/>
  <c r="J328" i="1"/>
  <c r="K327" i="1"/>
  <c r="J327" i="1"/>
  <c r="K326" i="1"/>
  <c r="J326" i="1"/>
  <c r="K325" i="1"/>
  <c r="J325" i="1"/>
  <c r="K324" i="1"/>
  <c r="J324" i="1"/>
  <c r="K323" i="1"/>
  <c r="J323" i="1"/>
  <c r="K322" i="1"/>
  <c r="J322" i="1"/>
  <c r="K321" i="1"/>
  <c r="J321" i="1"/>
  <c r="K320" i="1"/>
  <c r="J320" i="1"/>
  <c r="K319" i="1"/>
  <c r="J319" i="1"/>
  <c r="K318" i="1"/>
  <c r="J318" i="1"/>
  <c r="K317" i="1"/>
  <c r="J317" i="1"/>
  <c r="K316" i="1"/>
  <c r="J316" i="1"/>
  <c r="K315" i="1"/>
  <c r="J315" i="1"/>
  <c r="K314" i="1"/>
  <c r="J314" i="1"/>
  <c r="K313" i="1"/>
  <c r="J313" i="1"/>
  <c r="K312" i="1"/>
  <c r="J312" i="1"/>
  <c r="K311" i="1"/>
  <c r="J311" i="1"/>
  <c r="K310" i="1"/>
  <c r="J310" i="1"/>
  <c r="K309" i="1"/>
  <c r="J309" i="1"/>
  <c r="K308" i="1"/>
  <c r="J308" i="1"/>
  <c r="K307" i="1"/>
  <c r="J307" i="1"/>
  <c r="K306" i="1"/>
  <c r="J306" i="1"/>
  <c r="K305" i="1"/>
  <c r="J305" i="1"/>
  <c r="K304" i="1"/>
  <c r="J304" i="1"/>
  <c r="K303" i="1"/>
  <c r="J303" i="1"/>
  <c r="K302" i="1"/>
  <c r="J302" i="1"/>
  <c r="K301" i="1"/>
  <c r="J301" i="1"/>
  <c r="K300" i="1"/>
  <c r="J300" i="1"/>
  <c r="K299" i="1"/>
  <c r="J299" i="1"/>
  <c r="K298" i="1"/>
  <c r="J298" i="1"/>
  <c r="K297" i="1"/>
  <c r="J297" i="1"/>
  <c r="K296" i="1"/>
  <c r="J296" i="1"/>
  <c r="K295" i="1"/>
  <c r="J295" i="1"/>
  <c r="K294" i="1"/>
  <c r="J294" i="1"/>
  <c r="K293" i="1"/>
  <c r="J293" i="1"/>
  <c r="K292" i="1"/>
  <c r="J292" i="1"/>
  <c r="K291" i="1"/>
  <c r="J291" i="1"/>
  <c r="K290" i="1"/>
  <c r="J290" i="1"/>
  <c r="K289" i="1"/>
  <c r="J289" i="1"/>
  <c r="K288" i="1"/>
  <c r="J288" i="1"/>
  <c r="K287" i="1"/>
  <c r="J287" i="1"/>
  <c r="K286" i="1"/>
  <c r="J286" i="1"/>
  <c r="K285" i="1"/>
  <c r="J285" i="1"/>
  <c r="K284" i="1"/>
  <c r="J284" i="1"/>
  <c r="K283" i="1"/>
  <c r="J283" i="1"/>
  <c r="K282" i="1"/>
  <c r="J282" i="1"/>
  <c r="K281" i="1"/>
  <c r="J281" i="1"/>
  <c r="K280" i="1"/>
  <c r="J280" i="1"/>
  <c r="K279" i="1"/>
  <c r="J279" i="1"/>
  <c r="K278" i="1"/>
  <c r="J278" i="1"/>
  <c r="K277" i="1"/>
  <c r="J277" i="1"/>
  <c r="K276" i="1"/>
  <c r="J276" i="1"/>
  <c r="K275" i="1"/>
  <c r="J275" i="1"/>
  <c r="K274" i="1"/>
  <c r="J274" i="1"/>
  <c r="K273" i="1"/>
  <c r="J273" i="1"/>
  <c r="K272" i="1"/>
  <c r="J272" i="1"/>
  <c r="K271" i="1"/>
  <c r="J271" i="1"/>
  <c r="K270" i="1"/>
  <c r="J270" i="1"/>
  <c r="K269" i="1"/>
  <c r="J269" i="1"/>
  <c r="K268" i="1"/>
  <c r="J268" i="1"/>
  <c r="K267" i="1"/>
  <c r="J267" i="1"/>
  <c r="K266" i="1"/>
  <c r="J266" i="1"/>
  <c r="K265" i="1"/>
  <c r="J265" i="1"/>
  <c r="K264" i="1"/>
  <c r="J264" i="1"/>
  <c r="K263" i="1"/>
  <c r="J263" i="1"/>
  <c r="K262" i="1"/>
  <c r="J262" i="1"/>
  <c r="K261" i="1"/>
  <c r="J261" i="1"/>
  <c r="K260" i="1"/>
  <c r="J260" i="1"/>
  <c r="K259" i="1"/>
  <c r="J259" i="1"/>
  <c r="K258" i="1"/>
  <c r="J258" i="1"/>
  <c r="K257" i="1"/>
  <c r="J257" i="1"/>
  <c r="K256" i="1"/>
  <c r="J256" i="1"/>
  <c r="K255" i="1"/>
  <c r="J255" i="1"/>
  <c r="K254" i="1"/>
  <c r="J254" i="1"/>
  <c r="K253" i="1"/>
  <c r="J253" i="1"/>
  <c r="K252" i="1"/>
  <c r="J252" i="1"/>
  <c r="K251" i="1"/>
  <c r="J251" i="1"/>
  <c r="K250" i="1"/>
  <c r="J250" i="1"/>
  <c r="K249" i="1"/>
  <c r="J249" i="1"/>
  <c r="K248" i="1"/>
  <c r="J248" i="1"/>
  <c r="K247" i="1"/>
  <c r="J247" i="1"/>
  <c r="K246" i="1"/>
  <c r="J246" i="1"/>
  <c r="K245" i="1"/>
  <c r="J245" i="1"/>
  <c r="K244" i="1"/>
  <c r="J244" i="1"/>
  <c r="K243" i="1"/>
  <c r="J243" i="1"/>
  <c r="K242" i="1"/>
  <c r="J242" i="1"/>
  <c r="K241" i="1"/>
  <c r="J241" i="1"/>
  <c r="K240" i="1"/>
  <c r="J240" i="1"/>
  <c r="K239" i="1"/>
  <c r="J239" i="1"/>
  <c r="K238" i="1"/>
  <c r="J238" i="1"/>
  <c r="K237" i="1"/>
  <c r="J237" i="1"/>
  <c r="K236" i="1"/>
  <c r="J236" i="1"/>
  <c r="K235" i="1"/>
  <c r="J235" i="1"/>
  <c r="K234" i="1"/>
  <c r="J234" i="1"/>
  <c r="K233" i="1"/>
  <c r="J233" i="1"/>
  <c r="K232" i="1"/>
  <c r="J232" i="1"/>
  <c r="K231" i="1"/>
  <c r="J231" i="1"/>
  <c r="K230" i="1"/>
  <c r="J230" i="1"/>
  <c r="K229" i="1"/>
  <c r="J229" i="1"/>
  <c r="K228" i="1"/>
  <c r="J228" i="1"/>
  <c r="K227" i="1"/>
  <c r="J227" i="1"/>
  <c r="K226" i="1"/>
  <c r="J226" i="1"/>
  <c r="K225" i="1"/>
  <c r="J225" i="1"/>
  <c r="K224" i="1"/>
  <c r="J224" i="1"/>
  <c r="K223" i="1"/>
  <c r="J223" i="1"/>
  <c r="K222" i="1"/>
  <c r="J222" i="1"/>
  <c r="K221" i="1"/>
  <c r="J221" i="1"/>
  <c r="K220" i="1"/>
  <c r="J220" i="1"/>
  <c r="K219" i="1"/>
  <c r="J219" i="1"/>
  <c r="K218" i="1"/>
  <c r="J218" i="1"/>
  <c r="K217" i="1"/>
  <c r="J217" i="1"/>
  <c r="K216" i="1"/>
  <c r="J216" i="1"/>
  <c r="K215" i="1"/>
  <c r="J215" i="1"/>
  <c r="K214" i="1"/>
  <c r="J214" i="1"/>
  <c r="K213" i="1"/>
  <c r="J213" i="1"/>
  <c r="K212" i="1"/>
  <c r="J212" i="1"/>
  <c r="K211" i="1"/>
  <c r="J211" i="1"/>
  <c r="K210" i="1"/>
  <c r="J210" i="1"/>
  <c r="K209" i="1"/>
  <c r="J209" i="1"/>
  <c r="K208" i="1"/>
  <c r="J208" i="1"/>
  <c r="K207" i="1"/>
  <c r="J207" i="1"/>
  <c r="K206" i="1"/>
  <c r="J206" i="1"/>
  <c r="K205" i="1"/>
  <c r="J205" i="1"/>
  <c r="K204" i="1"/>
  <c r="J204" i="1"/>
  <c r="K203" i="1"/>
  <c r="J203" i="1"/>
  <c r="K202" i="1"/>
  <c r="J202" i="1"/>
  <c r="K201" i="1"/>
  <c r="J201" i="1"/>
  <c r="K200" i="1"/>
  <c r="J200" i="1"/>
  <c r="K199" i="1"/>
  <c r="J199" i="1"/>
  <c r="K198" i="1"/>
  <c r="J198" i="1"/>
  <c r="K197" i="1"/>
  <c r="J197" i="1"/>
  <c r="K196" i="1"/>
  <c r="J196" i="1"/>
  <c r="K195" i="1"/>
  <c r="J195" i="1"/>
  <c r="K194" i="1"/>
  <c r="J194" i="1"/>
  <c r="K193" i="1"/>
  <c r="J193" i="1"/>
  <c r="K192" i="1"/>
  <c r="J192" i="1"/>
  <c r="K191" i="1"/>
  <c r="J191" i="1"/>
  <c r="K190" i="1"/>
  <c r="J190" i="1"/>
  <c r="K189" i="1"/>
  <c r="J189" i="1"/>
  <c r="K188" i="1"/>
  <c r="J188" i="1"/>
  <c r="K187" i="1"/>
  <c r="J187" i="1"/>
  <c r="K186" i="1"/>
  <c r="J186" i="1"/>
  <c r="K185" i="1"/>
  <c r="J185" i="1"/>
  <c r="K184" i="1"/>
  <c r="J184" i="1"/>
  <c r="K183" i="1"/>
  <c r="J183" i="1"/>
  <c r="K182" i="1"/>
  <c r="J182" i="1"/>
  <c r="K181" i="1"/>
  <c r="J181" i="1"/>
  <c r="K180" i="1"/>
  <c r="J180" i="1"/>
  <c r="K179" i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K172" i="1"/>
  <c r="J172" i="1"/>
  <c r="K171" i="1"/>
  <c r="J171" i="1"/>
  <c r="K170" i="1"/>
  <c r="J170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</calcChain>
</file>

<file path=xl/sharedStrings.xml><?xml version="1.0" encoding="utf-8"?>
<sst xmlns="http://schemas.openxmlformats.org/spreadsheetml/2006/main" count="4522" uniqueCount="1834">
  <si>
    <t>CookUnity East Coast Public Menu Crawl</t>
  </si>
  <si>
    <t>Public East Coast sample menu (store 1), menu week 2026-10-12; crawled 2026-10-08. All rendered results were expanded. This is not a ZIP-specific Virginia weekly catalog.</t>
  </si>
  <si>
    <t>Source: https://www.cookunity.com/our-menu | Data endpoint: https://www.cookunity.com/api/sample-menu-by-store?storeId=1</t>
  </si>
  <si>
    <t>Rendered meals</t>
  </si>
  <si>
    <t>Deduplicated meals</t>
  </si>
  <si>
    <t>Nutrition verified</t>
  </si>
  <si>
    <t>Public filters</t>
  </si>
  <si>
    <t>Duplicate URLs</t>
  </si>
  <si>
    <t>Virginia weekly catalog</t>
  </si>
  <si>
    <t>Login required</t>
  </si>
  <si>
    <t>Coverage</t>
  </si>
  <si>
    <t>Public sample exhausted</t>
  </si>
  <si>
    <t>Meal Name</t>
  </si>
  <si>
    <t>Chef</t>
  </si>
  <si>
    <t>Public Categories</t>
  </si>
  <si>
    <t>Taxonomy Tags</t>
  </si>
  <si>
    <t>Canonical Meal Link</t>
  </si>
  <si>
    <t>Calories</t>
  </si>
  <si>
    <t>Protein (g)</t>
  </si>
  <si>
    <t>Carbs (g)</t>
  </si>
  <si>
    <t>Fat (g)</t>
  </si>
  <si>
    <t>Protein / 100 kcal</t>
  </si>
  <si>
    <t>Calculated Nutrition Labels</t>
  </si>
  <si>
    <t>CookUnity Labels</t>
  </si>
  <si>
    <t>Public Availability</t>
  </si>
  <si>
    <t>Extraction Status</t>
  </si>
  <si>
    <t>'Longevity' Chicken Chow Mein</t>
  </si>
  <si>
    <t>Hong Thaimee</t>
  </si>
  <si>
    <t>All Meals; Poultry; Dairy free</t>
  </si>
  <si>
    <t>diet: High Sugar; diet: High Sodium; diet: High Protein; diet: High Fat; diet: Mid Carb; diet: Mid Calorie; bom: Salads, Bowls &amp; Stir Fries; day-part: Dinner; hot-or-cold: Eaten Hot; meal-composition: Sauteed; meal-composition: Noodle-Based Stir Fry; cuisine: Asian; cuisine: Chinese; protein: Poultry; protein: Chicken Thigh</t>
  </si>
  <si>
    <t>https://www.cookunity.com/meals/ny-thaimee-lunar-new-year-chicken-chow-mein</t>
  </si>
  <si>
    <t>Dairy Free; High Protein; Peanut Free</t>
  </si>
  <si>
    <t>Shown in stock on public sample</t>
  </si>
  <si>
    <t>Verified from public meal page</t>
  </si>
  <si>
    <t>Aarthi’s Spl Chicken Breast Tikka Masala</t>
  </si>
  <si>
    <t>Aarthi Sampath</t>
  </si>
  <si>
    <t>All Meals; Poultry; Less than 600 calories; Gluten free</t>
  </si>
  <si>
    <t>merchandising-filters: Energy Boost; diet: High Sodium; diet: Mid Sugar; diet: Mid Fat; diet: Mid Carb; diet: High Protein; diet: Low Calorie; cuisine: Indian; cuisine: Asian; meal-composition: One-Pot; meal-composition: Curry; protein: Poultry; protein: Chicken Breast; usage: Freezer Friendly; hot-or-cold: Eaten Hot; day-part: Dinner; bom: Mains with Side; bom: From the Farm</t>
  </si>
  <si>
    <t>https://www.cookunity.com/meals/ny-sampath-tikka-masala-%26-chicken</t>
  </si>
  <si>
    <t>Energy Boost; Gluten Free; High Protein; Less Than 600 calories; Peanut Free; Soy Free</t>
  </si>
  <si>
    <t>Aloo Gobi</t>
  </si>
  <si>
    <t>Vikas Khanna</t>
  </si>
  <si>
    <t>All Meals; Vegetarian; Vegan; Dairy free</t>
  </si>
  <si>
    <t>diet: No Added Sugar; diet: High Sodium; diet: High Fat; diet: High Carb; diet: Mid Protein; diet: Mid Calorie; diet: Low Sugar; taste: Spicy; hot-or-cold: Eaten Hot; bom: Salads, Bowls &amp; Stir Fries; meal-composition: One-Pot; meal-composition: Curry; protein: No Protein; cuisine: Asian; cuisine: Indian; diet: Vegetarian; diet: Vegan; diet: Plant-Based</t>
  </si>
  <si>
    <t>https://www.cookunity.com/meals/ny-khanna-aloo-gobi</t>
  </si>
  <si>
    <t>Dairy Free; Low Sugar; Peanut Free; Soy Free; Spicy; Vegan; Vegetarian</t>
  </si>
  <si>
    <t>Apricot-Amba Roasted Tilapia</t>
  </si>
  <si>
    <t>Einat Admony</t>
  </si>
  <si>
    <t>All Meals; GLP-1 balanced; Seafood; Less than 600 calories; Low carbs; Gluten free; Dairy free</t>
  </si>
  <si>
    <t>diet: No Added Sugar; merchandising-filters: GLP-1; merchandising-filters: Wellness; diet: Mid Sugar; diet: Mid Sodium; diet: Mid Fat; diet: High Protein; diet: Low Carb; diet: Low Calorie; diet: Pescatarian; day-part: Lunch; day-part: Dinner; bom: Mains with Side; hot-or-cold: Eaten Hot; merchandising-filters: PD Support; merchandising-filters: Great for Lunch; usage: Freezer Friendly; meal-composition: Protein + Veggies; meal-composition: Protein + Side; cuisine: African; cuisine: Moroccan; protein: Tilapia; protein: Fish</t>
  </si>
  <si>
    <t>https://www.cookunity.com/meals/ny-admony-apricot-amba-roasted-tilapia</t>
  </si>
  <si>
    <t>Dairy Free; GLP-1; Gluten Free; Great for Lunch; High Protein; Less Than 600 calories; Low Carbs; PD Support; Peanut Free; Soy Free; Wellness</t>
  </si>
  <si>
    <t>Arctic Char &amp; Citrus-Cucumber Pico</t>
  </si>
  <si>
    <t>Vanessa Cantave</t>
  </si>
  <si>
    <t>All Meals; Seafood; Gluten free; Low sodium</t>
  </si>
  <si>
    <t>diet: High Sugar; diet: Low Sodium; diet: High Protein; diet: High Fat; diet: Mid Carb; diet: Mid Calorie; diet: No Added Sugar; hot-or-cold: Eaten Hot; bom: Chef Specials (Extra Fee); merchandising-filters: Fine Dining; diet: Pescatarian; day-part: Dinner; meal-composition: Protein + Side; meal-composition: Protein + Carbs; cuisine: Caribbean; cuisine: Jamaican; protein: Fish; protein: Arctic Char</t>
  </si>
  <si>
    <t>https://www.cookunity.com/meals/ny-cantave-seared-arctic-char-with-citrus-cucumber-pico</t>
  </si>
  <si>
    <t>Fine Dining; Gluten Free; High Protein; Low Sodium; Tree Nut Free</t>
  </si>
  <si>
    <t>Arroz con Pollo with Jalapeño Green Sauce</t>
  </si>
  <si>
    <t>Sophie's Cuban</t>
  </si>
  <si>
    <t>All Meals; Poultry; Gluten free; Dairy free</t>
  </si>
  <si>
    <t>day-part: Dinner; season: Summer; bom: Mains with Side; hot-or-cold: Eaten Hot; usage: Fast Heating; merchandising-filters: Localized Pick; taste: Spicy; diet: Mid Sugar; diet: High Sodium; diet: High Protein; diet: High Fat; diet: Mid Carb; diet: Mid Calorie; diet: No Added Sugar; meal-composition: Protein + Side; meal-composition: Protein + Carbs + Veggies; cuisine: Caribbean; cuisine: Cuban; protein: Poultry; protein: Chicken Breast</t>
  </si>
  <si>
    <t>https://www.cookunity.com/meals/ny-cuban-arroz-con-pollo-sophie&amp;#x27;s</t>
  </si>
  <si>
    <t>Dairy Free; Gluten Free; High Protein; Localized Pick; Peanut Free; Spicy</t>
  </si>
  <si>
    <t>Asian-Style Pork Chop</t>
  </si>
  <si>
    <t>Chris Massiah</t>
  </si>
  <si>
    <t>All Meals; Beef; Less than 600 calories; Low carbs; Gluten free; Dairy free</t>
  </si>
  <si>
    <t>diet: High Sugar; diet: High Sodium; diet: High Protein; diet: High Fat; diet: Low Carb; diet: Low Calorie; day-part: Dinner; bom: From the Farm; bom: Mains with Side; hot-or-cold: Eaten Hot; meal-composition: Protein + Side; meal-composition: Protein + Veggies; cuisine: Asian; cuisine: Japanese; protein: Pork; protein: Pork Loin</t>
  </si>
  <si>
    <t>https://www.cookunity.com/meals/ny-grilled-pork-chop-asian-style</t>
  </si>
  <si>
    <t>Dairy Free; Gluten Free; High Protein; Less Than 600 calories; Low Carbs; Peanut Free</t>
  </si>
  <si>
    <t>Baharat-Spiced Beef and Yellow Rice</t>
  </si>
  <si>
    <t>Michael Solomonov</t>
  </si>
  <si>
    <t>All Meals; Beef; Gluten free; Dairy free</t>
  </si>
  <si>
    <t>diet: Mid Sugar; diet: High Sodium; diet: High Protein; diet: High Fat; diet: Mid Carb; diet: Mid Calorie; diet: No Added Sugar; protein: Ground Beef; protein: Beef; cuisine: Israeli; cuisine: Middle Eastern; meal-composition: Grain/Pasta/Carb-Based Bowl; meal-composition: Bowl; hot-or-cold: Eaten Cold; hot-or-cold: Eaten Hot; bom: Salads, Bowls &amp; Stir Fries; day-part: Dinner; day-part: Lunch; merchandising-filters: Great for Lunch</t>
  </si>
  <si>
    <t>https://www.cookunity.com/meals/ny-solomonov-beef-shawarma-bowl</t>
  </si>
  <si>
    <t>Contains Tree Nut; Dairy Free; Gluten Free; Great for Lunch; High Protein; Soy Free</t>
  </si>
  <si>
    <t>Baja-Style Shrimp Bowl</t>
  </si>
  <si>
    <t>Andres Mendez</t>
  </si>
  <si>
    <t>All Meals; Seafood; Less than 600 calories; Gluten free</t>
  </si>
  <si>
    <t>merchandising-filters: Energy Boost; diet: High Sodium; diet: High Fat; diet: Mid Protein; diet: Mid Sugar; diet: Mid Carb; diet: Low Calorie; protein: Shrimp; protein: Shellfish / Mollusk; meal-composition: Grain/Pasta/Carb-Based Bowl; meal-composition: Bowl; usage: Freezer Friendly; diet: Pescatarian; day-part: Dinner; bom: Salads, Bowls &amp; Stir Fries; hot-or-cold: Eaten Hot; merchandising-filters: Great for Lunch; cuisine: American; cuisine: Modern American</t>
  </si>
  <si>
    <t>https://www.cookunity.com/meals/ny-mendez-baja-style-shrimp-bowl</t>
  </si>
  <si>
    <t>Energy Boost; Gluten Free; Great for Lunch; Less Than 600 calories; Tree Nut Free</t>
  </si>
  <si>
    <t>Baked Herbed Cod</t>
  </si>
  <si>
    <t>Tony Perez</t>
  </si>
  <si>
    <t>All Meals; Seafood; Less than 600 calories; Low carbs; Gluten free; Dairy free; Low sodium; Keto diet; Paleo</t>
  </si>
  <si>
    <t>hot-or-cold: Eaten Hot; bom: Mains with Side; bom: From the Sea; diet: Paleo; diet: Pescatarian; diet: Mediterranean; day-part: Dinner; diet: No Added Sugar; diet: Low Calorie; diet: Low Carb; diet: High Fat; diet: Mid Protein; diet: Low Sodium; diet: Mid Sugar; merchandising-filters: Wellness; diet: Keto; meal-composition: Protein + Side; meal-composition: Protein + Veggies; cuisine: American; cuisine: Modern American; protein: Fish; protein: Cod</t>
  </si>
  <si>
    <t>https://www.cookunity.com/meals/ny-baked-herbed-cod-fp</t>
  </si>
  <si>
    <t>Dairy Free; Gluten Free; Keto Diet; Less Than 600 calories; Low Carbs; Low Sodium; Paleo; Peanut Free; Soy Free; Wellness</t>
  </si>
  <si>
    <t>Baked Lamb Kofta</t>
  </si>
  <si>
    <t>Meena Sreenivas</t>
  </si>
  <si>
    <t>All Meals; Beef; Gluten free; Low sodium</t>
  </si>
  <si>
    <t>merchandising-filters: Energy Boost; diet: Mid Sugar; diet: Low Sodium; diet: High Protein; diet: High Fat; diet: Mid Carb; diet: Mid Calorie; diet: No Added Sugar; usage: Freezer Friendly; hot-or-cold: Eaten Hot; bom: Mains with Side; bom: From the Farm; day-part: Dinner; meal-composition: Protein + Side; meal-composition: Protein + Carbs + Veggies; cuisine: Middle Eastern; cuisine: Turkish; protein: Lamb; protein: Ground Lamb; taste: Spicy</t>
  </si>
  <si>
    <t>https://www.cookunity.com/meals/ny-sreenivas-baked-lamb-kofta</t>
  </si>
  <si>
    <t>Energy Boost; Gluten Free; High Protein; Low Sodium; Soy Free; Spicy; Tree Nut Free</t>
  </si>
  <si>
    <t>Baked Rigatoni Pomodoro with Whipped Ricotta</t>
  </si>
  <si>
    <t>Marc Forgione</t>
  </si>
  <si>
    <t>All Meals; Vegetarian</t>
  </si>
  <si>
    <t>usage: Freezer Friendly; diet: Plant-Based; diet: Vegetarian; diet: Mediterranean; diet: High Sugar; diet: High Sodium; diet: High Protein; diet: High Fat; diet: High Carb; diet: Mid Calorie; hot-or-cold: Eaten Hot; season: Summer; day-part: Dinner; merchandising-filters: Green Eating; bom: Pizza &amp; Pasta; merchandising-labels: Low Emissions; meal-composition: Pasta; meal-composition: Baked/Gratin; cuisine: European; cuisine: Italian; protein: Eggs/Dairy; protein: Cheese</t>
  </si>
  <si>
    <t>https://www.cookunity.com/meals/ny-forgione-rigatoni-pomodoro-ricotta</t>
  </si>
  <si>
    <t>Contains Tree Nut; Green Eating; High Protein; Soy Free; Vegetarian</t>
  </si>
  <si>
    <t>Baked Swai Taco Bowl</t>
  </si>
  <si>
    <t>Kristy Flores</t>
  </si>
  <si>
    <t>All Meals; Seafood; Gluten free</t>
  </si>
  <si>
    <t>merchandising-filters: Great for Lunch; merchandising-filters: MTM - Cancer; merchandising-filters: Energy Boost; merchandising-filters: Wellness; diet: Mid Sugar; diet: Mid Sodium; diet: High Protein; diet: High Fat; diet: Mid Carb; diet: Mid Calorie; diet: No Added Sugar; cuisine: Tex Mex; cuisine: American; bom: Salads, Bowls &amp; Stir Fries; day-part: Dinner; diet: Pescatarian; hot-or-cold: Eaten Hot; meal-composition: Bowl; meal-composition: Grain/Pasta/Carb-Based Bowl; protein: Fish; protein: Swai</t>
  </si>
  <si>
    <t>https://www.cookunity.com/meals/ny-baked-catfish-taco-bowl</t>
  </si>
  <si>
    <t>Energy Boost; Gluten Free; Great for Lunch; High Protein; MTM - Cancer; Soy Free; Tree Nut Free; Wellness</t>
  </si>
  <si>
    <t>Baked Tofu Quinoa Chaufa</t>
  </si>
  <si>
    <t>Michelle Bernstein</t>
  </si>
  <si>
    <t>All Meals; GLP-1 balanced; Vegetarian; Less than 600 calories; Dairy free; Low sodium</t>
  </si>
  <si>
    <t>diet: Plant-Based; diet: Vegetarian; merchandising-filters: Wellness FLEX; merchandising-filters: MTM - Post-cancer; merchandising-filters: MTM - Cancer; merchandising-filters: MTM - Diabetes; merchandising-filters: MTM - Heart; merchandising-filters: GLP-1; merchandising-filters: Energy Boost; merchandising-filters: Wellness; diet: Mid Sugar; diet: Low Sodium; diet: Mid Protein; diet: High Fat; diet: Mid Carb; diet: Low Calorie; meal-composition: Grain-Based Stir Fry; meal-composition: Sauteed; day-part: Dinner; bom: Mains with Side; hot-or-cold: Eaten Hot; cuisine: Latin American; cuisine: Asian; cuisine: Peruvian; cuisine: Chinese; protein: Tofu; protein: Plant-Based Protein</t>
  </si>
  <si>
    <t>https://www.cookunity.com/meals/ny-bernstein-quinoa-chaufa-style</t>
  </si>
  <si>
    <t>Contains Tree Nut; Dairy Free; Energy Boost; GLP-1; Less Than 600 calories; Low Sodium; MTM - Cancer; MTM - Diabetes; MTM - Heart; MTM - Post-cancer; Vegetarian; Wellness; Wellness FLEX</t>
  </si>
  <si>
    <t>Baked Tofu Soba Noodle Bowl</t>
  </si>
  <si>
    <t>Raymundo Agrazal</t>
  </si>
  <si>
    <t>All Meals; Vegetarian; Vegan; Less than 600 calories; Dairy free</t>
  </si>
  <si>
    <t>diet: Plant-Based; diet: Vegan; diet: Vegetarian; meal-composition: Bowl; meal-composition: Grain/Pasta/Carb-Based Bowl; cuisine: Asian; cuisine: Japanese; protein: Plant-Based Protein; protein: Tofu; merchandising-filters: Wellness; diet: High Sugar; diet: Mid Sodium; diet: Mid Protein; diet: Mid Fat; diet: Mid Carb; diet: Low Calorie; bom: Salads, Bowls &amp; Stir Fries; hot-or-cold: Eaten Hot; merchandising-filters: Great for Lunch; merchandising-filters: PD Support; merchandising-filters: Localized Pick</t>
  </si>
  <si>
    <t>https://www.cookunity.com/meals/ny-agrazal-soba-noodle-bowl</t>
  </si>
  <si>
    <t>Contains Peanut; Dairy Free; Great for Lunch; Less Than 600 calories; Localized Pick; PD Support; Vegan; Vegetarian; Wellness</t>
  </si>
  <si>
    <t>Baked Ziti Bolognese</t>
  </si>
  <si>
    <t>Harold Dieterle</t>
  </si>
  <si>
    <t>All Meals; Beef</t>
  </si>
  <si>
    <t>diet: Mid Sugar; diet: High Sodium; diet: High Protein; diet: High Fat; diet: Mid Carb; diet: High Calorie; cuisine: Italian; cuisine: European; protein: Ground Beef; protein: Beef; meal-composition: Baked/Gratin; meal-composition: Pasta; bom: Pizza &amp; Pasta; day-part: Dinner; hot-or-cold: Eaten Hot; usage: Fast Heating</t>
  </si>
  <si>
    <t>https://www.cookunity.com/meals/ny-dieterle-baked-ziti-bolognese</t>
  </si>
  <si>
    <t>High Protein; Peanut Free; Soy Free</t>
  </si>
  <si>
    <t>Banana Blueberry Oatmeal Cups</t>
  </si>
  <si>
    <t>Provisions by John DeLucie</t>
  </si>
  <si>
    <t>All Meals; Vegetarian; Less than 600 calories; Low sodium</t>
  </si>
  <si>
    <t>bom: Kid's Meals; hot-or-cold: Eaten Hot; merchandising-filters: Family Favorites; merchandising-filters: PD Support; merchandising-labels: 🧸 Kids Meal; day-part: Dinner; meal-composition: Baked Goods; meal-composition: Muffin; cuisine: American; cuisine: American Comfort; protein: No Protein; diet: High Sugar; diet: Low Sodium; diet: Low Protein; diet: Low Fat; diet: Mid Carb; diet: Low Calorie; diet: Plant-Based; diet: Vegetarian; usage: Freezer Friendly</t>
  </si>
  <si>
    <t>https://www.cookunity.com/meals/ny-by-john-delucie-oatmeal-cup-breakfast</t>
  </si>
  <si>
    <t>Family Favorites; Less Than 600 calories; Low Fat; Low Sodium; PD Support; Peanut Free; Soy Free; Vegetarian</t>
  </si>
  <si>
    <t>Barramundi in Mushroom XO Sauce</t>
  </si>
  <si>
    <t>Akhtar Nawab</t>
  </si>
  <si>
    <t>All Meals; Seafood; Less than 600 calories; Low carbs; Gluten free; Dairy free; Low sodium</t>
  </si>
  <si>
    <t>meal-composition: Protein + Side; meal-composition: Protein + Veggies; cuisine: Asian; cuisine: Chinese; protein: Fish; protein: Barramundi; diet: Mid Sugar; diet: Low Sodium; diet: High Protein; diet: Mid Fat; diet: Low Carb; diet: Low Calorie; diet: No Added Sugar; diet: Pescatarian; day-part: Dinner; bom: From the Sea; bom: Mains with Side; hot-or-cold: Eaten Hot; merchandising-filters: Fitness Fuel; merchandising-filters: Virta Premium Meals</t>
  </si>
  <si>
    <t>https://www.cookunity.com/meals/ny-nawab-barramundi-xo</t>
  </si>
  <si>
    <t>Dairy Free; Fitness Fuel; Gluten Free; High Protein; Less Than 600 calories; Low Carbs; Low Sodium; Peanut Free; Virta Premium Meals</t>
  </si>
  <si>
    <t>Barramundi with Salsa Verde</t>
  </si>
  <si>
    <t>John DeLucie</t>
  </si>
  <si>
    <t>All Meals; Seafood; Less than 600 calories; Low carbs; Gluten free; Dairy free; Keto diet</t>
  </si>
  <si>
    <t>merchandising-filters: MTM - Cancer; diet: Pescatarian; day-part: Dinner; day-part: Lunch; hot-or-cold: Eaten Hot; bom: From the Sea; bom: Mains with Side; diet: No Added Sugar; diet: Low Calorie; diet: Low Carb; diet: High Fat; diet: High Protein; diet: Mid Sodium; diet: Low Sugar; merchandising-filters: Wellness; diet: Keto; merchandising-filters: Fine Dining; merchandising-filters: Fitness Fuel; merchandising-filters: Great for Lunch; merchandising-filters: Virta Premium Meals; meal-composition: Protein + Side; meal-composition: Protein + Veggies; cuisine: European; cuisine: Italian; protein: Fish; protein: Barramundi</t>
  </si>
  <si>
    <t>https://www.cookunity.com/meals/ny-barramundi-lemon-salsa-verde</t>
  </si>
  <si>
    <t>Dairy Free; Fine Dining; Fitness Fuel; Gluten Free; Great for Lunch; High Protein; Keto Diet; Less Than 600 calories; Low Carbs; Low Sugar; MTM - Cancer; Peanut Free; Soy Free; Virta Premium Meals; Wellness</t>
  </si>
  <si>
    <t>BBQ Chicken</t>
  </si>
  <si>
    <t>Chris Ratel</t>
  </si>
  <si>
    <t>All Meals; Poultry</t>
  </si>
  <si>
    <t>diet: High Sugar; diet: High Sodium; diet: High Fat; diet: Mid Carb; diet: Mid Calorie; diet: High Protein; protein: Chicken Thigh; protein: Poultry; meal-composition: Protein + Side; meal-composition: Protein + Carbs; hot-or-cold: Eaten Hot; day-part: Dinner; bom: Mains with Side; bom: From the Farm; usage: Freezer Friendly; cuisine: American; cuisine: American Comfort</t>
  </si>
  <si>
    <t>https://www.cookunity.com/meals/ny-ratel-smoky-bbq-chicken</t>
  </si>
  <si>
    <t>High Protein; Tree Nut Free</t>
  </si>
  <si>
    <t>Beef &amp; Black Bean Chili</t>
  </si>
  <si>
    <t>James Grody</t>
  </si>
  <si>
    <t>diet: High Sugar; diet: High Sodium; diet: High Fat; diet: High Carb; diet: Mid Calorie; diet: High Protein; cuisine: American Comfort; cuisine: American; protein: Ground Beef; protein: Beef; meal-composition: Stew/Chili; meal-composition: One-Pot; hot-or-cold: Eaten Hot; bom: From the Farm; bom: Mains with Side; taste: Spicy; day-part: Dinner; usage: Freezer Friendly; merchandising-filters: Chef Marketing Collections; merchandising-filters: Localized Pick</t>
  </si>
  <si>
    <t>https://www.cookunity.com/meals/ny-black-bean-chilli-topped</t>
  </si>
  <si>
    <t>Chef Marketing Collections; High Protein; Localized Pick; Peanut Free; Spicy</t>
  </si>
  <si>
    <t>Beef Albondigas in Creamy Tomato Sauce</t>
  </si>
  <si>
    <t>Felipe Donnelly</t>
  </si>
  <si>
    <t>diet: High Sodium; diet: High Fat; diet: Mid Sugar; diet: Mid Carb; diet: Mid Calorie; diet: High Protein; cuisine: American Comfort; cuisine: American; merchandising-filters: Family Favorites; merchandising-labels: 🧸 Kids Meal; bom: Kid's Meals; protein: Ground Beef; protein: Beef; meal-composition: Ground-Based; meal-composition: Protein Only; day-part: Dinner; hot-or-cold: Eaten Hot; usage: Fast Heating</t>
  </si>
  <si>
    <t>https://www.cookunity.com/meals/ny-donnelly-creamy-beef-albondigas</t>
  </si>
  <si>
    <t>Family Favorites; High Protein; Peanut Free</t>
  </si>
  <si>
    <t>Beef and Italian Pork Sausage Bolognese Rigatoni</t>
  </si>
  <si>
    <t>diet: High Sugar; diet: High Sodium; diet: High Protein; diet: High Fat; diet: High Carb; diet: Mid Calorie; hot-or-cold: Eaten Hot; bom: Pizza &amp; Pasta; day-part: Dinner; usage: Freezer Friendly; meal-composition: Pasta; meal-composition: Regular; cuisine: European; cuisine: Italian; protein: Beef; protein: Ground Beef</t>
  </si>
  <si>
    <t>https://www.cookunity.com/meals/ny-bernstein-beef-bolognese-rigatoni</t>
  </si>
  <si>
    <t>Beef Birria Quesadillas</t>
  </si>
  <si>
    <t>Santiago Lopez</t>
  </si>
  <si>
    <t>usage: Freezer Friendly; merchandising-filters: Energy Boost; diet: Low Sugar; diet: High Sodium; diet: High Protein; diet: High Fat; diet: Mid Carb; diet: Mid Calorie; diet: No Added Sugar; hot-or-cold: Eaten Hot; merchandising-filters: Great for Lunch; day-part: Dinner; bom: Tortilla; meal-composition: Handheld; meal-composition: Quesadilla; cuisine: Latin American; cuisine: Mexican; protein: Beef; protein: Brisket</t>
  </si>
  <si>
    <t>https://www.cookunity.com/meals/ny-beef-birria-quesadillas</t>
  </si>
  <si>
    <t>Energy Boost; Great for Lunch; High Protein; Low Sugar; Tree Nut Free</t>
  </si>
  <si>
    <t>Beef Empanadas with Chimichurri Sauce</t>
  </si>
  <si>
    <t>day-part: Dinner; day-part: Lunch; hot-or-cold: Eaten Hot; taste: Spicy; merchandising-filters: Great for Lunch; bom: Mains with Side; bom: From the Farm; diet: High Calorie; diet: High Carb; diet: High Fat; diet: High Protein; diet: High Sodium; diet: Mid Sugar; diet: No Added Sugar; meal-composition: Handheld; meal-composition: Empanada; cuisine: Latin American; cuisine: Argentinian; protein: Beef; protein: Ground Beef</t>
  </si>
  <si>
    <t>https://www.cookunity.com/meals/ny-beef-epanadas-with-jalapeno-mash</t>
  </si>
  <si>
    <t>Great for Lunch; High Protein; Spicy; Tree Nut Free</t>
  </si>
  <si>
    <t>Beef Samosa with Mango Chutney</t>
  </si>
  <si>
    <t>diet: Mid Sugar; diet: High Sodium; diet: Mid Protein; diet: High Fat; diet: Mid Carb; diet: High Calorie; cuisine: Indian; cuisine: Asian; meal-composition: Handheld; meal-composition: Empanada; protein: Beef; protein: Ground Beef; hot-or-cold: Eaten Hot; day-part: Lunch; day-part: Dinner; season: Summer; bom: Mains with Side; bom: From the Farm</t>
  </si>
  <si>
    <t>https://www.cookunity.com/meals/ny-sampath-beef-samosas-mango-chutney</t>
  </si>
  <si>
    <t>Tree Nut Free</t>
  </si>
  <si>
    <t>Beefy Baked Mac and Cheese</t>
  </si>
  <si>
    <t>day-part: Dinner; bom: Pizza &amp; Pasta; hot-or-cold: Eaten Hot; diet: High Calorie; diet: Mid Carb; diet: High Fat; diet: High Protein; diet: High Sodium; diet: Mid Sugar; diet: No Added Sugar; usage: Freezer Friendly; meal-composition: Pasta; meal-composition: Baked/Gratin; cuisine: American; cuisine: American Comfort; protein: Beef; protein: Ground Beef</t>
  </si>
  <si>
    <t>https://www.cookunity.com/meals/ny-ratel-beefy-mac-n-cheese</t>
  </si>
  <si>
    <t>High Protein; Peanut Free</t>
  </si>
  <si>
    <t>Beet &amp; Goat Cheese over Risotto</t>
  </si>
  <si>
    <t>All Meals; Vegetarian; Less than 600 calories; Gluten free</t>
  </si>
  <si>
    <t>diet: Mid Sugar; diet: High Sodium; diet: Mid Protein; diet: Mid Fat; diet: Mid Carb; diet: Low Calorie; cuisine: Italian; cuisine: European; hot-or-cold: Eaten Hot; bom: Pizza &amp; Pasta; diet: Plant-Based; diet: Vegetarian; day-part: Dinner; meal-composition: One-Pot; meal-composition: Risotto; protein: Eggs/Dairy; protein: Cheese</t>
  </si>
  <si>
    <t>https://www.cookunity.com/meals/ny-delucie-beet-%26-goat-cheese-over-risotto</t>
  </si>
  <si>
    <t>Contains Tree Nut; Gluten Free; Less Than 600 calories; Vegetarian</t>
  </si>
  <si>
    <t>Berbere Spiced Salmon</t>
  </si>
  <si>
    <t>Pierre Thiam</t>
  </si>
  <si>
    <t>All Meals; Seafood; Less than 600 calories; Low carbs; Gluten free; Dairy free; Keto diet; Paleo</t>
  </si>
  <si>
    <t>season: Summer; diet: Keto; diet: Mid Sugar; diet: High Sodium; diet: High Protein; diet: High Fat; diet: Low Carb; diet: Low Calorie; diet: No Added Sugar; hot-or-cold: Eaten Hot; bom: From the Sea; bom: Mains with Side; day-part: Dinner; diet: Pescatarian; diet: Paleo; merchandising-filters: Virta Premium Meals; meal-composition: Protein + Side; meal-composition: Protein + Veggies; cuisine: African; cuisine: North African; protein: Fish; protein: Salmon</t>
  </si>
  <si>
    <t>https://www.cookunity.com/meals/ny-thiam-berbere-salmon</t>
  </si>
  <si>
    <t>Dairy Free; Gluten Free; High Protein; Keto Diet; Less Than 600 calories; Low Carbs; Paleo; Soy Free; Tree Nut Free; Virta Premium Meals</t>
  </si>
  <si>
    <t>Black Bean Burrito Bowl</t>
  </si>
  <si>
    <t>Emily Peck</t>
  </si>
  <si>
    <t>All Meals; Vegetarian; Vegan; Less than 600 calories; Gluten free; Dairy free</t>
  </si>
  <si>
    <t>diet: No Added Sugar; diet: High Sugar; diet: High Sodium; diet: High Carb; diet: Mid Protein; diet: Mid Fat; diet: Low Calorie; protein: Legumes; protein: Plant-Based Protein; cuisine: Mexican; cuisine: Latin American; meal-composition: Grain/Pasta/Carb-Based Bowl; meal-composition: Bowl; hot-or-cold: Eaten Hot; bom: Salads, Bowls &amp; Stir Fries; day-part: Dinner; merchandising-filters: Localized Pick; merchandising-filters: Great for Lunch; diet: Vegetarian; diet: Vegan; diet: Plant-Based</t>
  </si>
  <si>
    <t>https://www.cookunity.com/meals/ny-peck-black-bean-burrito-bowl-reboot</t>
  </si>
  <si>
    <t>Contains Tree Nut; Dairy Free; Gluten Free; Great for Lunch; Less Than 600 calories; Localized Pick; Soy Free; Vegan; Vegetarian</t>
  </si>
  <si>
    <t>Blackened Chicken Quinoa Bowl</t>
  </si>
  <si>
    <t>Jose Garces</t>
  </si>
  <si>
    <t>All Meals; GLP-1 balanced; Poultry; Less than 600 calories; Gluten free; Dairy free</t>
  </si>
  <si>
    <t>merchandising-filters: Great for Lunch; merchandising-filters: PD Support; merchandising-filters: MTM - Cancer; merchandising-filters: GLP-1; merchandising-filters: Energy Boost; merchandising-filters: Wellness; diet: Mid Sugar; diet: Mid Sodium; diet: High Protein; diet: High Fat; diet: Mid Carb; diet: Low Calorie; cuisine: Mexican; cuisine: Latin American; meal-composition: Bowl; meal-composition: Grain/Pasta/Carb-Based Bowl; protein: Poultry; protein: Chicken Breast; bom: Salads, Bowls &amp; Stir Fries; hot-or-cold: Eaten Hot; day-part: Lunch; day-part: Dinner</t>
  </si>
  <si>
    <t>https://www.cookunity.com/meals/ny-garces-blackened-chicken-quinoa-bowl</t>
  </si>
  <si>
    <t>Dairy Free; Energy Boost; GLP-1; Gluten Free; Great for Lunch; High Protein; Less Than 600 calories; MTM - Cancer; PD Support; Soy Free; Tree Nut Free; Wellness</t>
  </si>
  <si>
    <t>Blackened Mahi Mahi with Mango-Habanero Salsa</t>
  </si>
  <si>
    <t>diet: High Sugar; diet: Mid Sodium; diet: High Protein; diet: High Fat; diet: Mid Carb; diet: Mid Calorie; cuisine: Mexican; cuisine: Latin American; diet: Pescatarian; day-part: Dinner; taste: Spicy; merchandising-filters: Fine Dining; bom: Chef Specials (Extra Fee); hot-or-cold: Eaten Hot; usage: Freezer Friendly; meal-composition: Protein + Side; meal-composition: Protein + Carbs + Veggies; protein: Fish; protein: Mahi Mahi</t>
  </si>
  <si>
    <t>https://www.cookunity.com/meals/ny-blackened-mahi</t>
  </si>
  <si>
    <t>Fine Dining; Gluten Free; High Protein; Peanut Free; Soy Free; Spicy</t>
  </si>
  <si>
    <t>Blackened Salmon Caesar Salad</t>
  </si>
  <si>
    <t>Chase Evans</t>
  </si>
  <si>
    <t>All Meals; Seafood; Less than 600 calories; Low carbs; Keto diet</t>
  </si>
  <si>
    <t>meal-composition: Bowl; meal-composition: Raw Veggie-Based Bowl; cuisine: American; cuisine: Modern American; protein: Fish; protein: Salmon; diet: Keto; diet: Low Sugar; diet: Mid Sodium; diet: High Protein; diet: High Fat; diet: Low Carb; diet: Low Calorie; diet: No Added Sugar; merchandising-filters: Great for Lunch; usage: Fast Heating; hot-or-cold: Eaten Hot; bom: Salads, Bowls &amp; Stir Fries; day-part: Dinner; day-part: Lunch; diet: Pescatarian; diet: Mediterranean; taste: Spicy</t>
  </si>
  <si>
    <t>https://www.cookunity.com/meals/ny-evans-blackened-salmon-caesar-salad</t>
  </si>
  <si>
    <t>Great for Lunch; High Protein; Keto Diet; Less Than 600 calories; Low Carbs; Low Sugar; Peanut Free; Spicy</t>
  </si>
  <si>
    <t>Blackened Shrimp &amp; Fresh Corn Grits</t>
  </si>
  <si>
    <t>merchandising-filters: Energy Boost; diet: Mid Sugar; diet: High Sodium; diet: High Protein; diet: High Fat; diet: Mid Carb; diet: Mid Calorie; diet: No Added Sugar; meal-composition: Protein + Side; meal-composition: Protein + Carbs; diet: Pescatarian; cuisine: American; cuisine: American Comfort; protein: Shrimp; protein: Shellfish / Mollusk; day-part: Dinner; bom: Mains with Side; hot-or-cold: Eaten Hot; usage: Fast Heating; taste: Spicy</t>
  </si>
  <si>
    <t>https://www.cookunity.com/meals/ny-shrimp-and-grits</t>
  </si>
  <si>
    <t>Energy Boost; Gluten Free; High Protein; Soy Free; Spicy; Tree Nut Free</t>
  </si>
  <si>
    <t>Braised Beef, Quinoa &amp; Kale Enchiladas</t>
  </si>
  <si>
    <t>All Meals; Beef; Gluten free</t>
  </si>
  <si>
    <t>diet: No Added Sugar; diet: High Sodium; diet: High Fat; diet: Mid Protein; diet: Mid Sugar; diet: Mid Carb; diet: Mid Calorie; protein: Ground Beef; protein: Beef; cuisine: Mexican; cuisine: Latin American; meal-composition: Enchiladas; meal-composition: Baked; taste: Spicy; hot-or-cold: Eaten Hot; bom: Tortilla; day-part: Dinner</t>
  </si>
  <si>
    <t>https://www.cookunity.com/meals/ny-braised-beef-enchiladas</t>
  </si>
  <si>
    <t>Gluten Free; Peanut Free; Spicy</t>
  </si>
  <si>
    <t>Braised Pork in Salsa de Carne Frita</t>
  </si>
  <si>
    <t>TJ Steele</t>
  </si>
  <si>
    <t>merchandising-filters: Energy Boost; diet: Mid Sugar; diet: Low Sodium; diet: High Protein; diet: High Fat; diet: Mid Carb; diet: Mid Calorie; diet: No Added Sugar; cuisine: Mexican; cuisine: Latin American; protein: Pork Shoulder; protein: Pork; meal-composition: Protein + Carbs; meal-composition: Protein + Side; merchandising-filters: Localized Pick; usage: Fast Heating; day-part: Dinner; bom: Mains with Side; hot-or-cold: Eaten Hot</t>
  </si>
  <si>
    <t>https://www.cookunity.com/meals/ny-steele-braised-pork-in-salsa-de-carne-frita</t>
  </si>
  <si>
    <t>Energy Boost; Gluten Free; High Protein; Localized Pick; Low Sodium; Peanut Free</t>
  </si>
  <si>
    <t>Brazilian Chicken Stroganoff</t>
  </si>
  <si>
    <t>All Meals; Poultry; Gluten free</t>
  </si>
  <si>
    <t>meal-composition: Protein + Side; meal-composition: Protein + Carbs; cuisine: Latin American; cuisine: Brazilian; protein: Poultry; protein: Chicken Thigh; merchandising-filters: Energy Boost; diet: Mid Sugar; diet: High Sodium; diet: High Protein; diet: High Fat; diet: Mid Carb; diet: Mid Calorie; usage: Freezer Friendly; day-part: Dinner; hot-or-cold: Eaten Hot; bom: From the Farm; bom: Mains with Side; merchandising-filters: Localized Pick</t>
  </si>
  <si>
    <t>https://www.cookunity.com/meals/ny-donnelly-brazilian-chicken-stroganoff</t>
  </si>
  <si>
    <t>Energy Boost; Gluten Free; High Protein; Localized Pick; Tree Nut Free</t>
  </si>
  <si>
    <t>Buffalo Chicken Crunchwrap</t>
  </si>
  <si>
    <t>usage: Freezer Friendly; diet: Low Sugar; diet: High Sodium; diet: High Protein; diet: High Fat; diet: Mid Carb; diet: High Calorie; hot-or-cold: Eaten Hot; bom: Tortilla; merchandising-filters: Great for Lunch; taste: Spicy; meal-composition: Handheld; meal-composition: Wrap; cuisine: American; cuisine: American Comfort; protein: Poultry; protein: Chicken Breast</t>
  </si>
  <si>
    <t>https://www.cookunity.com/meals/ny-dieterle-buffalo-chicken-crunch-wrap</t>
  </si>
  <si>
    <t>Great for Lunch; High Protein; Low Sugar; Spicy; Tree Nut Free</t>
  </si>
  <si>
    <t>Buffalo Chicken Rigatoni</t>
  </si>
  <si>
    <t>Anthony Nichols</t>
  </si>
  <si>
    <t>diet: Mid Sugar; diet: High Sodium; diet: High Protein; diet: High Fat; diet: High Carb; diet: High Calorie; diet: No Added Sugar; usage: Freezer Friendly; hot-or-cold: Eaten Hot; taste: Spicy; day-part: Dinner; bom: Pizza &amp; Pasta; meal-composition: Protein + Side; meal-composition: Protein + Carbs; cuisine: American; cuisine: American Comfort; protein: Poultry; protein: Chicken Breast</t>
  </si>
  <si>
    <t>https://www.cookunity.com/meals/ny-nichols-buffalo-chicken-rigatoni</t>
  </si>
  <si>
    <t>High Protein; Peanut Free; Spicy</t>
  </si>
  <si>
    <t>Bulgogi and Kimchi Rice Burrito</t>
  </si>
  <si>
    <t>Bong Le Jo</t>
  </si>
  <si>
    <t>diet: High Sugar; diet: High Sodium; diet: High Protein; diet: High Fat; diet: High Carb; diet: Mid Calorie; cuisine: Korean; cuisine: Modern American; cuisine: Asian; cuisine: American; day-part: Dinner; bom: Tortilla; hot-or-cold: Eaten Hot; usage: Fast Heating; usage: No Utensils Required; taste: Spicy; meal-composition: Handheld; meal-composition: Burrito; protein: Beef; protein: Rib Eye</t>
  </si>
  <si>
    <t>https://www.cookunity.com/meals/ny-kim-bulgogi-burrito</t>
  </si>
  <si>
    <t>Cajun Blackened Salmon</t>
  </si>
  <si>
    <t>day-part: Lunch; day-part: Dinner; bom: Chef Specials (Extra Fee); hot-or-cold: Eaten Hot; usage: Fast Heating; merchandising-filters: Great for Lunch; diet: No Added Sugar; merchandising-filters: Energy Boost; diet: High Sodium; diet: High Fat; diet: Mid Sugar; diet: Mid Carb; diet: Mid Calorie; diet: High Protein; protein: Fish; protein: Salmon; cuisine: Cajun/Creole; meal-composition: Protein + Veggies; meal-composition: Protein + Side; diet: Pescatarian; cuisine: American</t>
  </si>
  <si>
    <t>https://www.cookunity.com/meals/blackened-salmon-leeks</t>
  </si>
  <si>
    <t>Energy Boost; Gluten Free; Great for Lunch; High Protein; Soy Free; Tree Nut Free</t>
  </si>
  <si>
    <t>Calabrian Pepper Shrimp Scampi</t>
  </si>
  <si>
    <t>diet: Low Sugar; diet: High Sodium; diet: Mid Protein; diet: Mid Fat; diet: Mid Carb; diet: Low Calorie; diet: No Added Sugar; cuisine: Italian; cuisine: European; protein: Shrimp; protein: Shellfish / Mollusk; meal-composition: Protein + Carbs + Veggies; meal-composition: Protein + Side; hot-or-cold: Eaten Hot; bom: Mains with Side; bom: From the Sea; day-part: Dinner; taste: Spicy; diet: Pescatarian; merchandising-filters: PD Support</t>
  </si>
  <si>
    <t>https://www.cookunity.com/meals/ny-forgione-copy-of-calabrian-pepper-shrimp</t>
  </si>
  <si>
    <t>Gluten Free; Less Than 600 calories; Low Sugar; PD Support; Peanut Free; Soy Free; Spicy</t>
  </si>
  <si>
    <t>Caprese Pasta Salad with Prosciutto</t>
  </si>
  <si>
    <t>diet: Mid Sugar; diet: High Sodium; diet: Mid Protein; diet: High Fat; diet: Mid Carb; diet: Mid Calorie; cuisine: Italian; cuisine: European; day-part: Dinner; day-part: Lunch; bom: Pizza &amp; Pasta; hot-or-cold: Eaten Cold; meal-composition: Bowl; meal-composition: Grain/Pasta/Carb-Based Bowl; protein: Pork; protein: Ham</t>
  </si>
  <si>
    <t>https://www.cookunity.com/meals/ny-ratel-fresh-caprese-pasta-salad</t>
  </si>
  <si>
    <t>Peanut Free; Soy Free</t>
  </si>
  <si>
    <t>Caprese Ravioli in Tomato 'Brodo'</t>
  </si>
  <si>
    <t>All Meals; Vegetarian; Less than 600 calories</t>
  </si>
  <si>
    <t>season: Summer; day-part: Dinner; diet: Vegetarian; bom: Pizza &amp; Pasta; hot-or-cold: Eaten Hot; diet: No Added Sugar; diet: Low Calorie; diet: Mid Carb; diet: High Fat; diet: Mid Protein; diet: Mid Sodium; diet: Mid Sugar; merchandising-filters: Wellness; meal-composition: Pasta; meal-composition: Stuffed; cuisine: European; cuisine: Italian; protein: Eggs/Dairy; protein: Cheese</t>
  </si>
  <si>
    <t>https://www.cookunity.com/meals/ny-caprese-ravioli-in-tomato-brodo</t>
  </si>
  <si>
    <t>Contains Tree Nut; Less Than 600 calories; Vegetarian; Wellness</t>
  </si>
  <si>
    <t>Caramel-Glazed Arctic Char with Green Curry Sauce</t>
  </si>
  <si>
    <t>Soulayphet Schwader</t>
  </si>
  <si>
    <t>All Meals; Seafood; Dairy free</t>
  </si>
  <si>
    <t>merchandising-filters: Energy Boost; diet: Mid Sugar; diet: Mid Sodium; diet: High Protein; diet: High Fat; diet: Mid Carb; diet: Mid Calorie; hot-or-cold: Eaten Hot; bom: Chef Specials (Extra Fee); merchandising-filters: Fine Dining; day-part: Dinner; diet: Pescatarian; usage: Freezer Friendly; meal-composition: Protein + Side; meal-composition: Protein + Carbs; cuisine: Asian; cuisine: Thai; protein: Fish; protein: Arctic Char</t>
  </si>
  <si>
    <t>https://www.cookunity.com/meals/ny-ginger-caramel-arctic-char</t>
  </si>
  <si>
    <t>Dairy Free; Energy Boost; Fine Dining; High Protein; Peanut Free; Soy Free</t>
  </si>
  <si>
    <t>Caramelized Mushroom Quesadilla</t>
  </si>
  <si>
    <t>hot-or-cold: Eaten Hot; bom: Tortilla; day-part: Lunch; day-part: Dinner; merchandising-filters: Great for Lunch; diet: Plant-Based; diet: Vegetarian; diet: Mid Calorie; diet: Mid Carb; diet: High Fat; diet: High Protein; diet: High Sodium; diet: Mid Sugar; diet: No Added Sugar; meal-composition: Handheld; meal-composition: Quesadilla; cuisine: Latin American; cuisine: Mexican; protein: Plant-Based Protein; protein: Fable; usage: Freezer Friendly</t>
  </si>
  <si>
    <t>https://www.cookunity.com/meals/ny-nawab-caramelized-mushroom-quesadilla</t>
  </si>
  <si>
    <t>Great for Lunch; High Protein; Peanut Free; Vegetarian</t>
  </si>
  <si>
    <t>Caribbean Vegetable Curry</t>
  </si>
  <si>
    <t>Livy's All Day Cafe</t>
  </si>
  <si>
    <t>diet: Mid Sugar; diet: High Sodium; diet: Mid Protein; diet: High Fat; diet: Mid Carb; diet: Low Calorie; diet: No Added Sugar; bom: Salads, Bowls &amp; Stir Fries; taste: Spicy; day-part: Dinner; diet: Vegetarian; diet: Plant-Based; hot-or-cold: Eaten Hot; meal-composition: One-Pot; meal-composition: Curry; cuisine: Caribbean; cuisine: Jamaican; protein: No Protein</t>
  </si>
  <si>
    <t>https://www.cookunity.com/meals/ny-------caribbean-vegetable-curry</t>
  </si>
  <si>
    <t>Gluten Free; Less Than 600 calories; Peanut Free; Soy Free; Spicy; Vegetarian</t>
  </si>
  <si>
    <t>Cauliflower Cacciatore</t>
  </si>
  <si>
    <t>diet: No Added Sugar; merchandising-filters: Wellness; diet: High Sugar; diet: Mid Protein; diet: Mid Sodium; diet: Mid Fat; diet: Mid Carb; diet: Low Calorie; merchandising-filters: PD Support; day-part: Dinner; hot-or-cold: Eaten Hot; bom: Soup &amp; Stews; usage: Freezer Friendly; protein: No Protein; cuisine: Italian; cuisine: European; meal-composition: Protein + Carbs + Veggies; meal-composition: Protein + Side; diet: Vegetarian; diet: Vegan; diet: Plant-Based</t>
  </si>
  <si>
    <t>https://www.cookunity.com/meals/ny-forgione-cauliflower-cacciatore</t>
  </si>
  <si>
    <t>Dairy Free; Gluten Free; Less Than 600 calories; PD Support; Peanut Free; Vegan; Vegetarian; Wellness</t>
  </si>
  <si>
    <t>Chana Masala</t>
  </si>
  <si>
    <t>Lena Elkousy</t>
  </si>
  <si>
    <t>diet: Plant-Based; diet: Vegan; diet: Vegetarian; diet: Mid Sugar; diet: High Sodium; diet: Mid Protein; diet: Mid Fat; diet: Mid Carb; diet: Low Calorie; diet: No Added Sugar; cuisine: Indian; cuisine: Asian; hot-or-cold: Eaten Hot; bom: Mains with Side; bom: From the Earth; day-part: Dinner; merchandising-labels: Low Emissions; meal-composition: Protein + Side; meal-composition: Protein + Carbs + Veggies; protein: Plant-Based Protein; protein: Legumes</t>
  </si>
  <si>
    <t>https://www.cookunity.com/meals/ny-elkousy-chana-masala</t>
  </si>
  <si>
    <t>Dairy Free; Gluten Free; Less Than 600 calories; Peanut Free; Vegan; Vegetarian</t>
  </si>
  <si>
    <t>Cheesy Beef Picadillo</t>
  </si>
  <si>
    <t>diet: Mid Sugar; diet: High Sodium; diet: High Protein; diet: High Fat; diet: Mid Carb; diet: Mid Calorie; diet: No Added Sugar; cuisine: Cuban; cuisine: Caribbean; meal-composition: Protein + Side; meal-composition: Protein + Carbs; protein: Beef; protein: Ground Beef; taste: Spicy; usage: Freezer Friendly; day-part: Dinner; bom: From the Farm; bom: Mains with Side; hot-or-cold: Eaten Hot</t>
  </si>
  <si>
    <t>https://www.cookunity.com/meals/ny-nichols-cheesy-beef-picadillo</t>
  </si>
  <si>
    <t>Gluten Free; High Protein; Peanut Free; Spicy</t>
  </si>
  <si>
    <t>Cheesy Brisket Quesadillas</t>
  </si>
  <si>
    <t>day-part: Dinner; bom: Tortilla; hot-or-cold: Eaten Hot; usage: No Utensils Required; diet: Mid Sugar; diet: High Sodium; diet: High Protein; diet: High Fat; diet: Mid Carb; diet: Mid Calorie; diet: No Added Sugar; cuisine: Mexican; cuisine: Latin American; protein: Brisket; protein: Beef; meal-composition: Quesadilla; meal-composition: Handheld</t>
  </si>
  <si>
    <t>https://www.cookunity.com/meals/ny-lopez-beef-barbacoa-carne-asada-mexican-quesadilla</t>
  </si>
  <si>
    <t>Chicken &amp; Dumplings</t>
  </si>
  <si>
    <t>diet: Mid Sugar; diet: High Sodium; diet: High Protein; diet: High Fat; diet: Mid Carb; diet: Mid Calorie; cuisine: American Comfort; cuisine: American; meal-composition: Soup; meal-composition: One-Pot; protein: Chicken Breast; protein: Poultry; day-part: Dinner; bom: Soup &amp; Stews; hot-or-cold: Eaten Hot; usage: Fast Heating; taste: Spicy</t>
  </si>
  <si>
    <t>https://www.cookunity.com/meals/ny-evans-chicken-%26-dumplings</t>
  </si>
  <si>
    <t>High Protein; Spicy; Tree Nut Free</t>
  </si>
  <si>
    <t>Chicken &amp; Soba Noodle Salad</t>
  </si>
  <si>
    <t>Esther Choi</t>
  </si>
  <si>
    <t>All Meals; GLP-1 balanced; Poultry; Less than 600 calories; Dairy free</t>
  </si>
  <si>
    <t>day-part: Lunch; day-part: Dinner; bom: Salads, Bowls &amp; Stir Fries; hot-or-cold: Eaten Cold; diet: Low Calorie; diet: Mid Carb; diet: Mid Fat; diet: High Protein; diet: High Sodium; diet: High Sugar; merchandising-filters: Wellness; merchandising-filters: Energy Boost; merchandising-filters: GLP-1; merchandising-filters: MTM - Cancer; merchandising-filters: MTM - Post-cancer; meal-composition: Bowl; meal-composition: Grain/Pasta/Carb-Based Bowl; cuisine: Asian; cuisine: Korean; protein: Poultry; protein: Chicken Breast</t>
  </si>
  <si>
    <t>https://www.cookunity.com/meals/ny-choi-chicken-%26-soba-noodle-salad</t>
  </si>
  <si>
    <t>Dairy Free; Energy Boost; GLP-1; High Protein; Less Than 600 calories; MTM - Cancer; MTM - Post-cancer; Tree Nut Free; Wellness</t>
  </si>
  <si>
    <t>Chicken and Pearl Couscous</t>
  </si>
  <si>
    <t>All Meals; Poultry; Less than 600 calories</t>
  </si>
  <si>
    <t>diet: High Sugar; diet: Mid Sodium; diet: High Protein; diet: Mid Fat; diet: Mid Carb; diet: Low Calorie; cuisine: Mediterranean; cuisine: European; hot-or-cold: Eaten Cold; day-part: Dinner; merchandising-filters: Great for Lunch; bom: Salads, Bowls &amp; Stir Fries; meal-composition: Protein + Side; meal-composition: Protein + Carbs; protein: Poultry; protein: Chicken Breast</t>
  </si>
  <si>
    <t>https://www.cookunity.com/meals/ny-israeli-couscous-caprese-bowl</t>
  </si>
  <si>
    <t>Great for Lunch; High Protein; Less Than 600 calories; Soy Free; Tree Nut Free</t>
  </si>
  <si>
    <t>Chicken Enchiladas Suizas</t>
  </si>
  <si>
    <t>usage: Freezer Friendly; meal-composition: Baked; meal-composition: Enchiladas; cuisine: Latin American; cuisine: Mexican; protein: Poultry; protein: Chicken Thigh; merchandising-filters: Energy Boost; diet: Mid Sugar; diet: High Sodium; diet: High Protein; diet: High Fat; diet: Mid Carb; diet: Mid Calorie; bom: Tortilla; day-part: Dinner; hot-or-cold: Eaten Hot</t>
  </si>
  <si>
    <t>https://www.cookunity.com/meals/ny-lopez-chicken-enchiladas-reboot</t>
  </si>
  <si>
    <t>Energy Boost; High Protein; Peanut Free</t>
  </si>
  <si>
    <t>Chicken Fajita Casserole</t>
  </si>
  <si>
    <t>diet: Mid Sugar; diet: High Sodium; diet: High Protein; diet: High Fat; diet: Mid Carb; diet: Mid Calorie; diet: No Added Sugar; bom: Mains with Side; bom: From the Farm; day-part: Dinner; hot-or-cold: Eaten Hot; taste: Spicy; usage: Freezer Friendly; meal-composition: Baked; meal-composition: Casserole; cuisine: Latin American; cuisine: Mexican; protein: Poultry; protein: Chicken Thigh; merchandising-filters: Chef Marketing Collections</t>
  </si>
  <si>
    <t>https://www.cookunity.com/meals/ny-mendez-chicken-fajitas-reboot</t>
  </si>
  <si>
    <t>Chef Marketing Collections; High Protein; Peanut Free; Spicy</t>
  </si>
  <si>
    <t>Chicken Milanese with Mashed Potatoes</t>
  </si>
  <si>
    <t>diet: Mid Sugar; diet: High Sodium; diet: High Protein; diet: High Fat; diet: High Carb; diet: Mid Calorie; cuisine: Italian; cuisine: European; meal-composition: Protein + Side; meal-composition: Protein + Carbs + Veggies; protein: Poultry; protein: Chicken Breast; day-part: Dinner; hot-or-cold: Eaten Hot; bom: From the Farm; bom: Mains with Side</t>
  </si>
  <si>
    <t>https://www.cookunity.com/meals/ny-delucie-chicken-milanese-w%2F-garlic-mash</t>
  </si>
  <si>
    <t>Chicken Satay Quinoa Bowl</t>
  </si>
  <si>
    <t>All Meals; Poultry; Less than 600 calories; Low carbs; Gluten free</t>
  </si>
  <si>
    <t>diet: High Sodium; diet: Mid Sugar; diet: Mid Fat; diet: High Protein; diet: Low Carb; diet: Low Calorie; protein: Chicken Breast; protein: Poultry; meal-composition: Bowl; meal-composition: Grain/Pasta/Carb-Based Bowl; cuisine: Asian; cuisine: Thai; hot-or-cold: Eaten Hot; bom: Salads, Bowls &amp; Stir Fries</t>
  </si>
  <si>
    <t>https://www.cookunity.com/meals/ny-thaimee-chicken-satay-wellness-bowl</t>
  </si>
  <si>
    <t>Contains Peanut; Gluten Free; High Protein; Less Than 600 calories; Low Carbs</t>
  </si>
  <si>
    <t>Chicken Shawarma Rice Bowl</t>
  </si>
  <si>
    <t>merchandising-filters: Energy Boost; diet: Low Sugar; diet: High Sodium; diet: High Protein; diet: High Fat; diet: Mid Carb; diet: Mid Calorie; cuisine: Lebanese; cuisine: Middle Eastern; meal-composition: Protein + Carbs + Veggies; meal-composition: Protein + Side; usage: Freezer Friendly; protein: Chicken Thigh; protein: Poultry; day-part: Dinner; season: Summer; bom: Salads, Bowls &amp; Stir Fries; hot-or-cold: Eaten Hot; merchandising-filters: Great for Lunch; taste: Spicy</t>
  </si>
  <si>
    <t>https://www.cookunity.com/meals/ny-evans-chicken-shawarma-rice-bowl</t>
  </si>
  <si>
    <t>Energy Boost; Great for Lunch; High Protein; Low Sugar; Peanut Free; Spicy</t>
  </si>
  <si>
    <t>Chicken Shawarma Salad</t>
  </si>
  <si>
    <t>Antony Nassif</t>
  </si>
  <si>
    <t>All Meals; Poultry; Less than 600 calories; Low carbs</t>
  </si>
  <si>
    <t>day-part: Dinner; season: Spring; bom: Salads, Bowls &amp; Stir Fries; hot-or-cold: Eaten Hot; merchandising-filters: PD Support; meal-composition: Bowl; meal-composition: Raw Veggie-Based Bowl; cuisine: Middle Eastern; cuisine: Lebanese; protein: Poultry; protein: Chicken Thigh; diet: Mid Sugar; diet: High Sodium; diet: High Protein; diet: High Fat; diet: Low Carb; diet: Low Calorie; diet: No Added Sugar</t>
  </si>
  <si>
    <t>https://www.cookunity.com/meals/ny-nassif-greek-fattoush-salad</t>
  </si>
  <si>
    <t>High Protein; Less Than 600 calories; Low Carbs; PD Support; Peanut Free; Soy Free</t>
  </si>
  <si>
    <t>Chicken Spaghetti Pad See Ew</t>
  </si>
  <si>
    <t>meal-composition: Sauteed; meal-composition: Noodle-Based Stir Fry; cuisine: Asian; cuisine: Thai; usage: Freezer Friendly; diet: High Sugar; diet: High Sodium; diet: High Protein; diet: Mid Fat; diet: High Carb; diet: Mid Calorie; hot-or-cold: Eaten Hot; bom: Salads, Bowls &amp; Stir Fries; day-part: Lunch; day-part: Dinner; merchandising-filters: Localized Pick; protein: Poultry; protein: Chicken Thigh</t>
  </si>
  <si>
    <t>https://www.cookunity.com/meals/ny-thaimee-chicken-spaghetti-pad-see-ew</t>
  </si>
  <si>
    <t>Dairy Free; High Protein; Localized Pick; Tree Nut Free</t>
  </si>
  <si>
    <t>Chicken Teriyaki with Charred Broccolini</t>
  </si>
  <si>
    <t>meal-composition: Protein + Side; meal-composition: Protein + Carbs + Veggies; cuisine: Asian; cuisine: Japanese; protein: Poultry; protein: Chicken Thigh; diet: High Sugar; diet: High Sodium; diet: High Protein; diet: Mid Fat; diet: High Carb; diet: Mid Calorie; hot-or-cold: Eaten Hot; bom: Mains with Side; bom: From the Farm; day-part: Dinner; usage: Freezer Friendly</t>
  </si>
  <si>
    <t>https://www.cookunity.com/meals/ny-chicken-teriyaki</t>
  </si>
  <si>
    <t>Chicken Thighs in Scallion Cream (Organic Chicken)</t>
  </si>
  <si>
    <t>Maia Bengochea</t>
  </si>
  <si>
    <t>All Meals; Poultry; Gluten free; Low sodium</t>
  </si>
  <si>
    <t>day-part: Dinner; bom: Mains with Side; hot-or-cold: Eaten Hot; usage: Fast Heating; merchandising-filters: MTM - Cancer; merchandising-filters: Energy Boost; merchandising-filters: Wellness; diet: Mid Sugar; diet: Low Sodium; diet: High Protein; diet: High Fat; diet: Mid Carb; diet: Mid Calorie; diet: No Added Sugar; cuisine: Modern American; cuisine: American; meal-composition: Protein + Carbs + Veggies; meal-composition: Protein + Side; protein: Poultry; protein: Chicken Thigh; diet: Mediterranean</t>
  </si>
  <si>
    <t>https://www.cookunity.com/meals/ny-bengochea-organic-chicken-thighs-in-scallion-cream---clean-line</t>
  </si>
  <si>
    <t>Contains Tree Nut; Energy Boost; Gluten Free; High Protein; Low Sodium; MTM - Cancer; Soy Free; Wellness</t>
  </si>
  <si>
    <t>Chicken Tikka Masala</t>
  </si>
  <si>
    <t>merchandising-filters: Energy Boost; diet: Mid Sugar; diet: Mid Sodium; diet: High Protein; diet: High Fat; diet: Mid Carb; diet: Mid Calorie; diet: No Added Sugar; cuisine: Indian; cuisine: Asian; merchandising-filters: Chef Marketing Collections; hot-or-cold: Eaten Hot; bom: Mains with Side; bom: From the Farm; taste: Spicy; day-part: Dinner; usage: Freezer Friendly; meal-composition: One-Pot; meal-composition: Curry; protein: Poultry; protein: Chicken Thigh</t>
  </si>
  <si>
    <t>https://www.cookunity.com/meals/ny-chicken-tikka-andres</t>
  </si>
  <si>
    <t>Chef Marketing Collections; Contains Tree Nut; Energy Boost; Gluten Free; High Protein; Soy Free; Spicy</t>
  </si>
  <si>
    <t>Chicken Tinga Quesadilla</t>
  </si>
  <si>
    <t>Ivy Stark</t>
  </si>
  <si>
    <t>meal-composition: Handheld; meal-composition: Quesadilla; cuisine: Latin American; cuisine: Mexican; usage: Freezer Friendly; diet: High Sugar; diet: High Sodium; diet: High Protein; diet: High Fat; diet: Mid Carb; diet: Mid Calorie; merchandising-filters: Great for Lunch; day-part: Lunch; day-part: Dinner; bom: Tortilla; hot-or-cold: Eaten Hot; taste: Spicy; protein: Poultry; protein: Chicken Breast</t>
  </si>
  <si>
    <t>https://www.cookunity.com/meals/ny-stark-chicken-quesadilla</t>
  </si>
  <si>
    <t>Chicken with Mole Rojo</t>
  </si>
  <si>
    <t>diet: High Sugar; diet: High Sodium; diet: High Fat; diet: High Carb; diet: Mid Calorie; diet: High Protein; usage: Fast Heating; hot-or-cold: Eaten Hot; day-part: Dinner; bom: Mains with Side; taste: Spicy; meal-composition: Protein + Side; meal-composition: Protein + Carbs; protein: Poultry; protein: Chicken Thigh; cuisine: Latin American; cuisine: Mexican</t>
  </si>
  <si>
    <t>https://www.cookunity.com/meals/ny-steele-chicken-thigh-with-mole-rojo</t>
  </si>
  <si>
    <t>Chili Lime Salmon</t>
  </si>
  <si>
    <t>meal-composition: Protein + Side; meal-composition: Protein + Carbs; cuisine: Latin American; cuisine: Mexican; protein: Fish; protein: Salmon; merchandising-filters: MTM - Cancer; merchandising-filters: Energy Boost; diet: Mid Sugar; diet: Low Sodium; diet: High Protein; diet: High Fat; diet: Mid Carb; diet: Mid Calorie; taste: Spicy; day-part: Dinner; diet: Pescatarian; bom: From the Sea; bom: Mains with Side; hot-or-cold: Eaten Hot</t>
  </si>
  <si>
    <t>https://www.cookunity.com/meals/ny-sreenivas-chili-lime-salmon</t>
  </si>
  <si>
    <t>Energy Boost; Gluten Free; High Protein; Low Sodium; MTM - Cancer; Spicy; Tree Nut Free</t>
  </si>
  <si>
    <t>Chilled Soba Noodles &amp; Poached Shrimp</t>
  </si>
  <si>
    <t>Mike Ding</t>
  </si>
  <si>
    <t>All Meals; Seafood; Less than 600 calories</t>
  </si>
  <si>
    <t>diet: High Sugar; diet: High Sodium; diet: Mid Protein; diet: Low Fat; diet: Mid Carb; diet: Low Calorie; hot-or-cold: Eaten Cold; bom: From the Sea; bom: Mains with Side; day-part: Dinner; diet: Pescatarian; meal-composition: Protein + Side; meal-composition: Protein + Carbs + Veggies; cuisine: Asian; cuisine: Japanese; protein: Shellfish / Mollusk; protein: Shrimp; merchandising-filters: Localized Pick</t>
  </si>
  <si>
    <t>https://www.cookunity.com/meals/ny-ding-chilled-shrimp-zaru-soba-noodles</t>
  </si>
  <si>
    <t>Less Than 600 calories; Localized Pick; Low Fat; Tree Nut Free</t>
  </si>
  <si>
    <t>Chinese Chicken Dumplings</t>
  </si>
  <si>
    <t>Yong Zhao &amp; Wanting Zhang</t>
  </si>
  <si>
    <t>All Meals; Poultry; Less than 600 calories; Dairy free</t>
  </si>
  <si>
    <t>meal-composition: Stuffed/Wrapped Not Handheld; meal-composition: Dumplings; cuisine: Asian; cuisine: Chinese; protein: Poultry; protein: Ground Chicken; diet: High Sugar; diet: High Sodium; diet: Mid Protein; diet: Mid Fat; diet: Mid Carb; diet: Low Calorie; day-part: Dinner; bom: Mains with Side; bom: From the Farm; hot-or-cold: Eaten Hot; usage: Freezer Friendly; merchandising-filters: Great for Lunch; merchandising-filters: Localized Pick</t>
  </si>
  <si>
    <t>https://www.cookunity.com/meals/ny-zhao-zhang-chicken-dumplings</t>
  </si>
  <si>
    <t>Dairy Free; Great for Lunch; Less Than 600 calories; Localized Pick; Peanut Free</t>
  </si>
  <si>
    <t>Chinese-Style Drunken Chicken Thighs</t>
  </si>
  <si>
    <t>All Meals; Poultry; Less than 600 calories; Low carbs; Dairy free; Keto diet</t>
  </si>
  <si>
    <t>diet: Keto; diet: High Sugar; diet: High Sodium; diet: High Protein; diet: High Fat; diet: Low Carb; diet: Low Calorie; cuisine: Chinese; cuisine: Asian; protein: Chicken Thigh; protein: Poultry; meal-composition: Protein + Veggies; meal-composition: Protein + Side; taste: Spicy; usage: Freezer Friendly; day-part: Dinner; bom: From the Farm; bom: Mains with Side; hot-or-cold: Eaten Hot</t>
  </si>
  <si>
    <t>https://www.cookunity.com/meals/ny-drunken-chicken</t>
  </si>
  <si>
    <t>Dairy Free; High Protein; Keto Diet; Less Than 600 calories; Low Carbs; Peanut Free; Spicy</t>
  </si>
  <si>
    <t>Chipotle BBQ Jackfruit Bowl</t>
  </si>
  <si>
    <t>All Meals; GLP-1 balanced; Vegan; Less than 600 calories; Dairy free</t>
  </si>
  <si>
    <t>diet: Plant-Based; diet: Vegan; diet: Mediterranean; merchandising-filters: MTM - Post-cancer; merchandising-filters: GLP-1; merchandising-filters: Wellness; diet: High Sugar; diet: High Sodium; diet: Mid Protein; diet: Mid Fat; diet: Mid Carb; diet: Low Calorie; season: Summer; merchandising-filters: PD Support; merchandising-filters: Great for Lunch; protein: Legumes; protein: Plant-Based Protein; cuisine: Modern American; cuisine: American; meal-composition: Grain/Pasta/Carb-Based Bowl; meal-composition: Bowl; usage: Freezer Friendly; hot-or-cold: Eaten Hot; bom: Salads, Bowls &amp; Stir Fries; day-part: Lunch; day-part: Dinner</t>
  </si>
  <si>
    <t>https://www.cookunity.com/meals/ny-peck-bbq-jackfruit</t>
  </si>
  <si>
    <t>Dairy Free; GLP-1; Great for Lunch; Less Than 600 calories; MTM - Post-cancer; PD Support; Peanut Free; Vegan; Wellness</t>
  </si>
  <si>
    <t>Chipotle Chicken Enchiladas</t>
  </si>
  <si>
    <t>usage: Freezer Friendly; diet: Mid Sugar; diet: High Sodium; diet: High Protein; diet: High Fat; diet: Mid Carb; diet: Mid Calorie; diet: No Added Sugar; taste: Spicy; day-part: Dinner; bom: Tortilla; hot-or-cold: Eaten Hot; protein: Poultry; protein: Chicken Thigh; meal-composition: Baked; meal-composition: Enchiladas; cuisine: Latin American; cuisine: Mexican</t>
  </si>
  <si>
    <t>https://www.cookunity.com/meals/ny-bernstein-chipotle-chicken-enchiladas</t>
  </si>
  <si>
    <t>Chipotle-Maple Glazed Salmon</t>
  </si>
  <si>
    <t>Ruben Garcia</t>
  </si>
  <si>
    <t>All Meals; GLP-1 balanced; Seafood; Less than 600 calories; Low carbs; Gluten free; Dairy free; Low sodium</t>
  </si>
  <si>
    <t>diet: Pescatarian; merchandising-filters: GLP-1; merchandising-filters: Wellness; diet: High Sugar; diet: Low Sodium; diet: High Protein; diet: Mid Fat; diet: Low Carb; diet: Low Calorie; bom: Mains with Side; bom: From the Sea; day-part: Dinner; taste: Spicy; hot-or-cold: Eaten Hot; meal-composition: Protein + Side; meal-composition: Protein + Veggies; cuisine: American; cuisine: Modern American; protein: Fish; protein: Salmon</t>
  </si>
  <si>
    <t>https://www.cookunity.com/meals/ny-garcia-chipotle-maple-salmon</t>
  </si>
  <si>
    <t>Dairy Free; GLP-1; Gluten Free; High Protein; Less Than 600 calories; Low Carbs; Low Sodium; Peanut Free; Soy Free; Spicy; Wellness</t>
  </si>
  <si>
    <t>Chive Butter Salmon</t>
  </si>
  <si>
    <t>All Meals; Seafood; Low carbs; Gluten free; Low sodium</t>
  </si>
  <si>
    <t>merchandising-filters: MTM - Cancer; diet: High Sugar; diet: Low Sodium; diet: High Protein; diet: High Fat; diet: Low Carb; diet: Mid Calorie; diet: No Added Sugar; day-part: Dinner; diet: Pescatarian; bom: From the Sea; bom: Mains with Side; hot-or-cold: Eaten Hot; merchandising-filters: Fine Dining; meal-composition: Protein + Side; meal-composition: Protein + Carbs + Veggies; cuisine: American; cuisine: Modern American; protein: Fish; protein: Salmon</t>
  </si>
  <si>
    <t>https://www.cookunity.com/meals/ny-chive-butter-salmon</t>
  </si>
  <si>
    <t>Fine Dining; Gluten Free; High Protein; Low Carbs; Low Sodium; MTM - Cancer; Peanut Free; Soy Free</t>
  </si>
  <si>
    <t>Citrus Baked Salmon</t>
  </si>
  <si>
    <t>All Meals; Seafood; Gluten free; Dairy free</t>
  </si>
  <si>
    <t>diet: No Added Sugar; diet: High Sugar; diet: High Sodium; diet: High Fat; diet: High Carb; diet: Mid Calorie; diet: High Protein; cuisine: Cuban; cuisine: Caribbean; meal-composition: Protein + Side; meal-composition: Protein + Carbs; taste: Spicy; usage: Fast Heating; hot-or-cold: Eaten Hot; bom: Mains with Side; day-part: Dinner; protein: Salmon; protein: Fish; diet: Pescatarian</t>
  </si>
  <si>
    <t>https://www.cookunity.com/meals/ny-cuban-baked-salmon</t>
  </si>
  <si>
    <t>Dairy Free; Gluten Free; High Protein; Peanut Free; Spicy</t>
  </si>
  <si>
    <t>Classic Lasagna Bolognese</t>
  </si>
  <si>
    <t>merchandising-filters: Chef Marketing Collections; day-part: Dinner; bom: Pizza &amp; Pasta; hot-or-cold: Eaten Hot; diet: Mid Sugar; diet: High Sodium; diet: High Protein; diet: High Fat; diet: Mid Carb; diet: Mid Calorie; meal-composition: Pasta; meal-composition: Baked/Gratin; cuisine: European; cuisine: Italian; protein: Pork; protein: Pork Sausage</t>
  </si>
  <si>
    <t>https://www.cookunity.com/meals/ny-lasagna-bolognese</t>
  </si>
  <si>
    <t>Chef Marketing Collections; High Protein; Peanut Free</t>
  </si>
  <si>
    <t>Classic Shepherd's Pie</t>
  </si>
  <si>
    <t>merchandising-filters: Energy Boost; diet: Mid Sugar; diet: High Sodium; diet: High Protein; diet: High Fat; diet: Mid Carb; diet: Mid Calorie; cuisine: American Comfort; cuisine: American; season: Winter; meal-composition: Baked; meal-composition: Shepherd's Pie; protein: Beef; protein: Ground Beef; usage: Freezer Friendly; day-part: Lunch; day-part: Dinner; bom: From the Farm; bom: Mains with Side; hot-or-cold: Eaten Hot</t>
  </si>
  <si>
    <t>https://www.cookunity.com/meals/ny-forgione-classic-shepherd&amp;#x27;s-pie</t>
  </si>
  <si>
    <t>Energy Boost; High Protein; Tree Nut Free</t>
  </si>
  <si>
    <t>Coastal Slow-Baked Chicken</t>
  </si>
  <si>
    <t>All Meals; Poultry; Low carbs; Gluten free; Dairy free</t>
  </si>
  <si>
    <t>merchandising-filters: MTM - Cancer; merchandising-filters: Wellness; diet: Mid Sugar; diet: Mid Sodium; diet: High Protein; diet: High Fat; diet: Low Carb; diet: Mid Calorie; cuisine: Mediterranean; cuisine: European; protein: Chicken Breast; protein: Poultry; meal-composition: Protein + Carbs + Veggies; meal-composition: Protein + Side; hot-or-cold: Eaten Hot; day-part: Dinner; bom: From the Farm; bom: Mains with Side</t>
  </si>
  <si>
    <t>https://www.cookunity.com/meals/ny-mediterranean-chicken</t>
  </si>
  <si>
    <t>Dairy Free; Gluten Free; High Protein; Low Carbs; MTM - Cancer; Peanut Free; Wellness</t>
  </si>
  <si>
    <t>Coco Sette Salad</t>
  </si>
  <si>
    <t>Pino Luongo</t>
  </si>
  <si>
    <t>All Meals; GLP-1 balanced; Vegetarian; Less than 600 calories; Low sodium</t>
  </si>
  <si>
    <t>diet: No Added Sugar; merchandising-filters: MTM - Post-cancer; merchandising-filters: GLP-1; merchandising-filters: Wellness; diet: High Fat; diet: Mid Protein; diet: Mid Sugar; diet: Mid Carb; diet: Low Sodium; diet: Low Calorie; protein: Legumes; protein: Plant-Based Protein; cuisine: Italian; cuisine: European; meal-composition: Grain/Pasta/Carb-Based Bowl; meal-composition: Bowl; merchandising-filters: PD Support; merchandising-filters: Great for Lunch; merchandising-filters: Clean Eating; hot-or-cold: Eaten Cold; bom: Salads, Bowls &amp; Stir Fries; diet: Mediterranean; diet: Plant-Based; diet: Vegetarian; merchandising-labels: Clean Line; day-part: Lunch; day-part: Dinner; season: Spring</t>
  </si>
  <si>
    <t>https://www.cookunity.com/meals/ny-luongo-clean-line---coco-sette-salad</t>
  </si>
  <si>
    <t>Clean Eating; GLP-1; Great for Lunch; Less Than 600 calories; Low Sodium; MTM - Post-cancer; PD Support; Soy Free; Tree Nut Free; Vegetarian; Wellness</t>
  </si>
  <si>
    <t>Creamy “Marry-Me” Chicken</t>
  </si>
  <si>
    <t>merchandising-filters: Energy Boost; diet: Low Sugar; diet: Mid Sodium; diet: High Protein; diet: High Fat; diet: Mid Carb; diet: Mid Calorie; diet: No Added Sugar; day-part: Dinner; hot-or-cold: Eaten Hot; bom: From the Farm; bom: Mains with Side; usage: Freezer Friendly; taste: Spicy; meal-composition: Protein + Side; meal-composition: Protein + Carbs + Veggies; cuisine: American; cuisine: Modern American; protein: Poultry; protein: Chicken Breast</t>
  </si>
  <si>
    <t>https://www.cookunity.com/meals/ny-sampath-creamy-%E2%80%9Cmarry-me%E2%80%9D-chicken</t>
  </si>
  <si>
    <t>Energy Boost; Gluten Free; High Protein; Low Sugar; Peanut Free; Spicy</t>
  </si>
  <si>
    <t>Creamy Brazilian Squash Moqueca</t>
  </si>
  <si>
    <t>All Meals; Vegetarian; Vegan; Gluten free; Dairy free; Low sodium</t>
  </si>
  <si>
    <t>diet: Plant-Based; diet: Vegan; diet: Vegetarian; usage: Freezer Friendly; diet: Mid Sugar; diet: Low Sodium; diet: Mid Protein; diet: High Fat; diet: High Carb; diet: Mid Calorie; diet: No Added Sugar; bom: Mains with Side; bom: From the Earth; hot-or-cold: Eaten Hot; day-part: Dinner; meal-composition: One-Pot; meal-composition: Stew/Chili; cuisine: Latin American; cuisine: Brazilian; protein: No Protein; season: Fall; season: Winter; merchandising-filters: Localized Pick</t>
  </si>
  <si>
    <t>https://www.cookunity.com/meals/ny-donnelly-squash-moqueca</t>
  </si>
  <si>
    <t>Dairy Free; Gluten Free; Localized Pick; Low Sodium; Peanut Free; Soy Free; Vegan; Vegetarian</t>
  </si>
  <si>
    <t>Creamy Butternut Squash and Lentil Soup</t>
  </si>
  <si>
    <t>All Meals; Vegan; Less than 600 calories; Gluten free; Dairy free</t>
  </si>
  <si>
    <t>merchandising-filters: Wellness; diet: Mid Sugar; diet: Mid Sodium; diet: Mid Protein; diet: Mid Fat; diet: Mid Carb; diet: Low Calorie; diet: No Added Sugar; merchandising-filters: Clean Eating; merchandising-filters: Great for Lunch; day-part: Dinner; day-part: Lunch; hot-or-cold: Eaten Hot; bom: Soup &amp; Stews; merchandising-labels: Clean Line; usage: Freezer Friendly; diet: Plant-Based; diet: Vegan; diet: Mediterranean; meal-composition: One-Pot; meal-composition: Soup; cuisine: American; cuisine: Modern American; protein: Plant-Based Protein; protein: Legumes</t>
  </si>
  <si>
    <t>https://www.cookunity.com/meals/ny-creamy-butternut-squash</t>
  </si>
  <si>
    <t>Clean Eating; Contains Tree Nut; Dairy Free; Gluten Free; Great for Lunch; Less Than 600 calories; Soy Free; Vegan; Wellness</t>
  </si>
  <si>
    <t>Creamy Cacio e Pepe</t>
  </si>
  <si>
    <t>day-part: Dinner; bom: Kid's Meals; hot-or-cold: Eaten Hot; merchandising-filters: Family Favorites; merchandising-labels: 🧸 Kids Meal; diet: High Sodium; diet: High Fat; diet: High Carb; diet: High Calorie; diet: Mid Protein; diet: Mid Sugar; protein: Cheese; protein: Eggs/Dairy; cuisine: Italian; cuisine: European; meal-composition: Regular; meal-composition: Pasta; usage: Freezer Friendly; diet: Plant-Based; diet: Vegetarian</t>
  </si>
  <si>
    <t>https://www.cookunity.com/meals/ny-ratel-creamy-cacio-e-pepe</t>
  </si>
  <si>
    <t>Family Favorites; Soy Free; Tree Nut Free; Vegetarian</t>
  </si>
  <si>
    <t>Creamy Cheese Tortellini</t>
  </si>
  <si>
    <t>diet: High Sugar; diet: High Sodium; diet: High Fat; diet: High Carb; diet: Mid Calorie; diet: High Protein; cuisine: American Comfort; cuisine: American; meal-composition: Pasta; meal-composition: Stuffed; protein: Eggs/Dairy; protein: Cheese; merchandising-labels: 🧸 Kids Meal; merchandising-filters: Family Favorites; merchandising-filters: PD Support; day-part: Dinner; diet: Vegetarian; diet: Plant-Based; hot-or-cold: Eaten Hot; bom: Kid's Meals; usage: Freezer Friendly</t>
  </si>
  <si>
    <t>https://www.cookunity.com/meals/ny-ratel-tortellini-with-a-creamy-butter-sauce%2C-peas%2C-carrots-and-cheese</t>
  </si>
  <si>
    <t>Family Favorites; High Protein; PD Support; Soy Free; Tree Nut Free; Vegetarian</t>
  </si>
  <si>
    <t>Creamy Summer Corn Chowder</t>
  </si>
  <si>
    <t>merchandising-filters: Wellness; diet: High Sugar; diet: Mid Sodium; diet: Mid Protein; diet: Mid Fat; diet: Mid Carb; diet: Low Calorie; diet: No Added Sugar; cuisine: Modern American; cuisine: American; merchandising-labels: Low Emissions; merchandising-labels: Clean Line; day-part: Lunch; day-part: Dinner; taste: Spicy; bom: Soup &amp; Stews; hot-or-cold: Eaten Hot; season: Winter; season: Summer; protein: No Protein; meal-composition: Soup; meal-composition: One-Pot; diet: Plant-Based; diet: Vegan; diet: Mediterranean</t>
  </si>
  <si>
    <t>https://www.cookunity.com/meals/ny-peck-creamy-summer-corn-chowder</t>
  </si>
  <si>
    <t>Contains Tree Nut; Dairy Free; Gluten Free; Less Than 600 calories; Soy Free; Spicy; Vegan; Wellness</t>
  </si>
  <si>
    <t>Creamy Tofu Tikka Masala</t>
  </si>
  <si>
    <t>All Meals; GLP-1 balanced; Vegetarian; Vegan; Less than 600 calories; Gluten free; Dairy free</t>
  </si>
  <si>
    <t>diet: Plant-Based; diet: Vegan; diet: Vegetarian; merchandising-filters: MTM - Post-cancer; merchandising-filters: MTM - Cancer; merchandising-filters: MTM - Diabetes; merchandising-filters: GLP-1; merchandising-filters: Wellness; diet: High Sugar; diet: Mid Sodium; diet: Mid Protein; diet: Mid Fat; diet: Mid Carb; diet: Low Calorie; cuisine: Indian; cuisine: Asian; meal-composition: Protein + Side; meal-composition: Protein + Carbs + Veggies; protein: Plant-Based Protein; protein: Tofu; usage: Freezer Friendly; day-part: Dinner; bom: From the Earth; bom: Mains with Side; hot-or-cold: Eaten Hot</t>
  </si>
  <si>
    <t>https://www.cookunity.com/meals/ny-sampath-firm-tofu-tikka-masala</t>
  </si>
  <si>
    <t>Dairy Free; GLP-1; Gluten Free; Less Than 600 calories; MTM - Cancer; MTM - Diabetes; MTM - Post-cancer; Peanut Free; Vegan; Vegetarian; Wellness</t>
  </si>
  <si>
    <t>Creamy Tuscan Chicken Breast</t>
  </si>
  <si>
    <t>day-part: Dinner; bom: Pizza &amp; Pasta; hot-or-cold: Eaten Hot; usage: Fast Heating; merchandising-filters: MTM - Cancer; merchandising-filters: Energy Boost; merchandising-filters: Wellness; diet: Mid Sugar; diet: Mid Sodium; diet: High Protein; diet: High Fat; diet: Mid Carb; diet: Mid Calorie; diet: No Added Sugar; cuisine: American Comfort; cuisine: American; meal-composition: Pasta; meal-composition: Regular; protein: Poultry; protein: Chicken Breast</t>
  </si>
  <si>
    <t>https://www.cookunity.com/meals/ny-evans-creamy-tuscan-chicken-breast-</t>
  </si>
  <si>
    <t>Energy Boost; High Protein; MTM - Cancer; Peanut Free; Wellness</t>
  </si>
  <si>
    <t>Cuban-Style Beef Picadillo</t>
  </si>
  <si>
    <t>diet: High Sugar; diet: High Sodium; diet: High Protein; diet: High Fat; diet: High Carb; diet: Mid Calorie; meal-composition: Protein + Side; meal-composition: Protein + Carbs; cuisine: Caribbean; cuisine: Cuban; protein: Beef; protein: Ground Beef; day-part: Dinner; bom: Mains with Side; hot-or-cold: Eaten Hot; usage: Fast Heating; merchandising-filters: Chef Marketing Collections; taste: Spicy</t>
  </si>
  <si>
    <t>https://www.cookunity.com/meals/ny-garces-cuban-style-beef-picadillo-reboot</t>
  </si>
  <si>
    <t>Chef Marketing Collections; Gluten Free; High Protein; Peanut Free; Spicy</t>
  </si>
  <si>
    <t>Dakgalbi Kimchi Chicken Rice</t>
  </si>
  <si>
    <t>diet: High Sugar; diet: High Sodium; diet: High Protein; diet: High Fat; diet: High Carb; diet: Mid Calorie; taste: Spicy; usage: Fast Heating; hot-or-cold: Eaten Cold; hot-or-cold: Eaten Hot; bom: Salads, Bowls &amp; Stir Fries; day-part: Dinner; day-part: Lunch; meal-composition: Bowl; meal-composition: Grain/Pasta/Carb-Based Bowl; cuisine: Asian; cuisine: Korean; protein: Poultry; protein: Chicken Thigh; merchandising-filters: Great for Lunch; merchandising-filters: Localized Pick</t>
  </si>
  <si>
    <t>https://www.cookunity.com/meals/ny-kim-dakgalbi-kimchi-bap</t>
  </si>
  <si>
    <t>Great for Lunch; High Protein; Localized Pick; Peanut Free; Spicy</t>
  </si>
  <si>
    <t>Dill-Marinated Tilapia</t>
  </si>
  <si>
    <t>All Meals; Seafood; Less than 600 calories; Low carbs; Gluten free; Low sodium; Keto diet</t>
  </si>
  <si>
    <t>diet: No Added Sugar; merchandising-filters: MTM - Cancer; merchandising-filters: Wellness; diet: High Fat; diet: Mid Sugar; diet: Low Sodium; diet: High Protein; diet: Keto; diet: Low Carb; diet: Low Calorie; cuisine: Modern American; cuisine: American; merchandising-filters: Virta Premium Meals; merchandising-filters: Great for Lunch; protein: Tilapia; protein: Fish; meal-composition: Protein + Veggies; meal-composition: Protein + Side; diet: Pescatarian; diet: Mediterranean; hot-or-cold: Eaten Hot; bom: From the Sea; bom: Mains with Side; season: Summer</t>
  </si>
  <si>
    <t>https://www.cookunity.com/meals/ny-bengochea-dill-marinated-tilapia</t>
  </si>
  <si>
    <t>Contains Tree Nut; Gluten Free; Great for Lunch; High Protein; Keto Diet; Less Than 600 calories; Low Carbs; Low Sodium; MTM - Cancer; Virta Premium Meals; Wellness</t>
  </si>
  <si>
    <t>Edamame Spring Roll Bowl</t>
  </si>
  <si>
    <t>All Meals; Vegetarian; Vegan; Less than 600 calories; Gluten free; Dairy free; Low sodium</t>
  </si>
  <si>
    <t>diet: Plant-Based; diet: Vegan; diet: Vegetarian; day-part: Lunch; day-part: Dinner; bom: Salads, Bowls &amp; Stir Fries; hot-or-cold: Eaten Hot; hot-or-cold: Eaten Cold; usage: Fast Heating; merchandising-filters: Great for Lunch; merchandising-filters: Localized Pick; meal-composition: Bowl; meal-composition: Grain/Pasta/Carb-Based Bowl; cuisine: Asian; cuisine: Thai; protein: Plant-Based Protein; protein: Legumes; merchandising-filters: Wellness; diet: High Sugar; diet: Low Sodium; diet: Mid Protein; diet: Mid Fat; diet: High Carb; diet: Low Calorie</t>
  </si>
  <si>
    <t>https://www.cookunity.com/meals/ny-thaimee-edamame-spring-roll-salad-bowl</t>
  </si>
  <si>
    <t>Dairy Free; Gluten Free; Great for Lunch; Less Than 600 calories; Localized Pick; Low Sodium; Peanut Free; Vegan; Vegetarian; Wellness</t>
  </si>
  <si>
    <t>Ethiopian  Spiced  Chicken  and  Egg</t>
  </si>
  <si>
    <t>All Meals; Poultry; Low carbs</t>
  </si>
  <si>
    <t>merchandising-filters: MTM - Cancer; merchandising-filters: Wellness; diet: Mid Sugar; diet: High Sodium; diet: High Protein; diet: High Fat; diet: Low Carb; diet: Mid Calorie; diet: No Added Sugar; protein: Chicken Thigh; protein: Poultry; cuisine: East African; cuisine: African; usage: Fast Heating; meal-composition: One-Pot; meal-composition: Stew/Chili; day-part: Dinner; season: Winter; bom: Soup &amp; Stews; hot-or-cold: Eaten Hot; taste: Spicy</t>
  </si>
  <si>
    <t>https://www.cookunity.com/meals/ny-admony-ethiopian-spiced-chicken-and-egg</t>
  </si>
  <si>
    <t>High Protein; Low Carbs; MTM - Cancer; Peanut Free; Spicy; Wellness</t>
  </si>
  <si>
    <t>Fable ® Mushroom Shawarma</t>
  </si>
  <si>
    <t>diet: High Sodium; diet: High Fat; diet: High Carb; diet: Mid Protein; diet: Mid Sugar; diet: Mid Calorie; bom: Salads, Bowls &amp; Stir Fries; day-part: Lunch; day-part: Dinner; merchandising-filters: Great for Lunch; hot-or-cold: Eaten Hot; usage: Freezer Friendly; diet: Vegetarian; diet: Vegan; diet: Plant-Based; protein: Fable; protein: Plant-Based Protein; cuisine: Lebanese; cuisine: Middle Eastern; meal-composition: Protein + Carbs + Veggies; meal-composition: Protein + Side</t>
  </si>
  <si>
    <t>https://www.cookunity.com/meals/ny-admony-fable-mushroom-shawarma-reboot</t>
  </si>
  <si>
    <t>Dairy Free; Great for Lunch; Peanut Free; Vegan; Vegetarian</t>
  </si>
  <si>
    <t>Falafel Bowl &amp; Roasted Tomatoes</t>
  </si>
  <si>
    <t>All Meals; Vegetarian; Vegan; Gluten free; Dairy free</t>
  </si>
  <si>
    <t>meal-composition: Bowl; meal-composition: Grain/Pasta/Carb-Based Bowl; cuisine: Middle Eastern; cuisine: Lebanese; protein: Plant-Based Protein; protein: Legumes; diet: Plant-Based; diet: Vegan; diet: Vegetarian; diet: Mid Sugar; diet: High Sodium; diet: Mid Protein; diet: High Fat; diet: High Carb; diet: Mid Calorie; merchandising-labels: Low Emissions; merchandising-filters: Green Eating; merchandising-filters: Great for Lunch; day-part: Lunch; day-part: Dinner; bom: Salads, Bowls &amp; Stir Fries; hot-or-cold: Eaten Hot</t>
  </si>
  <si>
    <t>https://www.cookunity.com/meals/ny-elkousky-falafel-bowl</t>
  </si>
  <si>
    <t>Dairy Free; Gluten Free; Great for Lunch; Green Eating; Peanut Free; Soy Free; Vegan; Vegetarian</t>
  </si>
  <si>
    <t>Farro &amp; Kale Mediterranean Bowl</t>
  </si>
  <si>
    <t>diet: No Added Sugar; merchandising-filters: MTM - Post-cancer; merchandising-filters: Wellness; diet: High Sugar; diet: High Fat; diet: Mid Protein; diet: Mid Sodium; diet: Mid Carb; diet: Low Calorie; taste: Spicy; bom: Salads, Bowls &amp; Stir Fries; hot-or-cold: Eaten Cold; day-part: Lunch; day-part: Dinner; diet: Plant-Based; diet: Vegetarian; diet: Mediterranean; merchandising-filters: Great for Lunch; merchandising-filters: PD Support; meal-composition: Bowl; meal-composition: Grain/Pasta/Carb-Based Bowl; cuisine: Middle Eastern; cuisine: Lebanese; protein: Eggs/Dairy; protein: Cheese</t>
  </si>
  <si>
    <t>https://www.cookunity.com/meals/ny-nassif-farro-and-kale-mediterranean-&amp;#x27;bibimbap&amp;#x27;</t>
  </si>
  <si>
    <t>Great for Lunch; Less Than 600 calories; MTM - Post-cancer; PD Support; Soy Free; Spicy; Tree Nut Free; Vegetarian; Wellness</t>
  </si>
  <si>
    <t>Fettuccine Bolognese</t>
  </si>
  <si>
    <t>merchandising-filters: Chef Marketing Collections; merchandising-filters: MTM - Cancer; merchandising-filters: Wellness; diet: Mid Sugar; diet: Mid Sodium; diet: Mid Protein; diet: High Fat; diet: High Carb; diet: Mid Calorie; diet: No Added Sugar; cuisine: Argentinian; cuisine: Italian; cuisine: Latin American; cuisine: European; usage: Freezer Friendly; hot-or-cold: Eaten Hot; day-part: Dinner; bom: Pizza &amp; Pasta; protein: Ground Beef; protein: Beef; meal-composition: Regular; meal-composition: Pasta</t>
  </si>
  <si>
    <t>https://www.cookunity.com/meals/ny-bengochea-fettuccine-bolognese</t>
  </si>
  <si>
    <t>Chef Marketing Collections; MTM - Cancer; Soy Free; Tree Nut Free; Wellness</t>
  </si>
  <si>
    <t>Filet Mignon with Red Wine Sauce</t>
  </si>
  <si>
    <t>Pat LaFrieda</t>
  </si>
  <si>
    <t>All Meals; Beef; Gluten free; Dairy free; Low sodium</t>
  </si>
  <si>
    <t>bom: Chef Specials (Extra Fee); day-part: Dinner; merchandising-filters: Fine Dining; hot-or-cold: Eaten Hot; diet: Mid Calorie; diet: Mid Carb; diet: High Fat; diet: High Protein; diet: Low Sodium; diet: Mid Sugar; merchandising-filters: Energy Boost; diet: No Added Sugar; meal-composition: Protein + Side; meal-composition: Protein + Carbs + Veggies; cuisine: American; cuisine: American Comfort; protein: Beef; protein: Filet Mignon</t>
  </si>
  <si>
    <t>https://www.cookunity.com/meals/ny-filet-mignon-with-red-wine-sauce</t>
  </si>
  <si>
    <t>Dairy Free; Energy Boost; Fine Dining; Gluten Free; High Protein; Low Sodium; Peanut Free</t>
  </si>
  <si>
    <t>Flank Steak California-Style Burrito</t>
  </si>
  <si>
    <t>merchandising-filters: Energy Boost; diet: Mid Sugar; diet: High Sodium; diet: High Protein; diet: High Fat; diet: Mid Carb; diet: Mid Calorie; diet: No Added Sugar; bom: Tortilla; hot-or-cold: Eaten Hot; day-part: Lunch; day-part: Dinner; merchandising-filters: Great for Lunch; taste: Spicy; usage: Freezer Friendly; meal-composition: Handheld; meal-composition: Burrito; cuisine: Latin American; cuisine: Mexican; protein: Beef; protein: Flank Steak</t>
  </si>
  <si>
    <t>https://www.cookunity.com/meals/ny-perez-california-burrito</t>
  </si>
  <si>
    <t>Contains Tree Nut; Energy Boost; Great for Lunch; High Protein; Spicy</t>
  </si>
  <si>
    <t>Flat Iron Steak Adobo With Grilled Salad</t>
  </si>
  <si>
    <t>All Meals; GLP-1 balanced; Beef; Less than 600 calories; Gluten free; Dairy free</t>
  </si>
  <si>
    <t>merchandising-filters: Fine Dining; season: Summer; merchandising-filters: MTM - Cancer; merchandising-filters: GLP-1; merchandising-filters: Energy Boost; merchandising-filters: Wellness; diet: Mid Sugar; diet: Mid Sodium; diet: High Protein; diet: Mid Fat; diet: Mid Carb; diet: Low Calorie; diet: No Added Sugar; cuisine: Lebanese; cuisine: Middle Eastern; bom: Chef Specials (Extra Fee); day-part: Dinner; hot-or-cold: Eaten Hot; protein: Flat Iron Steak; protein: Beef; meal-composition: Protein + Carbs + Veggies; meal-composition: Protein + Side</t>
  </si>
  <si>
    <t>https://www.cookunity.com/meals/ny-admony-flat-iron-steak-mashwi-salad</t>
  </si>
  <si>
    <t>Dairy Free; Energy Boost; Fine Dining; GLP-1; Gluten Free; High Protein; Less Than 600 calories; MTM - Cancer; Soy Free; Tree Nut Free; Wellness</t>
  </si>
  <si>
    <t>French Onion Soup Chicken Meatballs</t>
  </si>
  <si>
    <t>diet: Mid Sugar; diet: High Sodium; diet: High Protein; diet: High Fat; diet: Low Carb; diet: Low Calorie; cuisine: French; cuisine: European; usage: Freezer Friendly; merchandising-filters: Great for Lunch; merchandising-filters: PD Support; day-part: Dinner; day-part: Lunch; hot-or-cold: Eaten Hot; bom: Soup &amp; Stews; protein: Ground Chicken; protein: Poultry; meal-composition: Soup; meal-composition: One-Pot</t>
  </si>
  <si>
    <t>https://www.cookunity.com/meals/ny-dieterle-french-onion-soup-chicken-meatballs</t>
  </si>
  <si>
    <t>Great for Lunch; High Protein; Less Than 600 calories; Low Carbs; PD Support; Peanut Free</t>
  </si>
  <si>
    <t>Fried Chicken with Collard Greens Mac &amp; Cheese</t>
  </si>
  <si>
    <t>Babish</t>
  </si>
  <si>
    <t>diet: High Sugar; diet: High Sodium; diet: High Protein; diet: High Fat; diet: Mid Carb; diet: Mid Calorie; cuisine: Southern American; cuisine: American; protein: Chicken Breast; protein: Poultry; merchandising-labels: 🎬Binging with Babish; meal-composition: Protein + Carbs + Veggies; meal-composition: Protein + Side; day-part: Dinner; bom: Mains with Side; hot-or-cold: Eaten Hot; usage: Fast Heating; merchandising-filters: B2B Babish Meals; merchandising-filters: Localized Pick; taste: Spicy</t>
  </si>
  <si>
    <t>https://www.cookunity.com/meals/ny---fried-chicken</t>
  </si>
  <si>
    <t>B2B Babish Meals; High Protein; Localized Pick; Peanut Free; Spicy</t>
  </si>
  <si>
    <t>Garlic Butter &amp; Sriracha Shrimp</t>
  </si>
  <si>
    <t>All Meals; Seafood; Less than 600 calories; Low carbs; Gluten free</t>
  </si>
  <si>
    <t>diet: Mid Sugar; diet: High Sodium; diet: Mid Protein; diet: Mid Fat; diet: Low Carb; diet: Low Calorie; hot-or-cold: Eaten Hot; bom: From the Sea; bom: Mains with Side; taste: Spicy; day-part: Dinner; day-part: Lunch; meal-composition: Protein + Side; meal-composition: Protein + Veggies; cuisine: American; cuisine: Modern American; protein: Shellfish / Mollusk; protein: Shrimp; diet: Pescatarian; merchandising-filters: Localized Pick</t>
  </si>
  <si>
    <t>https://www.cookunity.com/meals/ny-perez-garlic-butter-%26-sriracha-shrimp</t>
  </si>
  <si>
    <t>Gluten Free; Less Than 600 calories; Localized Pick; Low Carbs; Soy Free; Spicy; Tree Nut Free</t>
  </si>
  <si>
    <t>Garlic Shrimp &amp; Roasted Tomatoes</t>
  </si>
  <si>
    <t>diet: Low Sugar; diet: High Sodium; diet: Mid Protein; diet: High Fat; diet: Low Carb; diet: Low Calorie; diet: No Added Sugar; cuisine: French; cuisine: European; meal-composition: Protein + Side; meal-composition: Protein + Carbs + Veggies; protein: Shellfish / Mollusk; protein: Shrimp; usage: Freezer Friendly; day-part: Dinner; diet: Pescatarian; bom: Mains with Side; bom: From the Sea; hot-or-cold: Eaten Hot</t>
  </si>
  <si>
    <t>https://www.cookunity.com/meals/ny-cantave-dad&amp;#x27;s-garlic-and-parsley-shrimp</t>
  </si>
  <si>
    <t>Gluten Free; Less Than 600 calories; Low Carbs; Low Sugar; Peanut Free; Soy Free</t>
  </si>
  <si>
    <t>Ghanaian Chicken Peanut Stew</t>
  </si>
  <si>
    <t>Miriam Milord</t>
  </si>
  <si>
    <t>merchandising-filters: Energy Boost; diet: Mid Sugar; diet: High Sodium; diet: High Protein; diet: High Fat; diet: High Carb; diet: Mid Calorie; meal-composition: One-Pot; meal-composition: Stew/Chili; cuisine: African; cuisine: West African; protein: Poultry; protein: Chicken Thigh; day-part: Dinner; season: Fall; season: Winter; bom: Soup &amp; Stews; hot-or-cold: Eaten Hot; usage: Fast Heating; merchandising-filters: Localized Pick</t>
  </si>
  <si>
    <t>https://www.cookunity.com/meals/ny-by-miriam-milord-ghanaian-peanut-stew-with-sweet-potatoes-%26-rice</t>
  </si>
  <si>
    <t>Contains Peanut; Energy Boost; High Protein; Localized Pick</t>
  </si>
  <si>
    <t>Ginger Ponzu Tofu</t>
  </si>
  <si>
    <t>All Meals; GLP-1 balanced; Vegetarian; Vegan; Less than 600 calories; Dairy free; Low sodium</t>
  </si>
  <si>
    <t>diet: Plant-Based; diet: Vegan; diet: Vegetarian; merchandising-filters: Wellness FLEX; merchandising-filters: MTM - Post-cancer; merchandising-filters: MTM - Cancer; merchandising-filters: MTM - Diabetes; merchandising-filters: MTM - Heart; merchandising-filters: GLP-1; merchandising-filters: Wellness; diet: Mid Sugar; diet: Low Sodium; diet: Mid Protein; diet: Mid Fat; diet: Mid Carb; diet: Low Calorie; diet: No Added Sugar; meal-composition: Protein + Side; meal-composition: Protein + Carbs + Veggies; cuisine: Asian; cuisine: Korean; protein: Plant-Based Protein; protein: Tofu; day-part: Dinner; bom: Mains with Side; hot-or-cold: Eaten Hot; usage: Fast Heating</t>
  </si>
  <si>
    <t>https://www.cookunity.com/meals/ny-peck-ginger-ponzu-tofu</t>
  </si>
  <si>
    <t>Dairy Free; GLP-1; Less Than 600 calories; Low Sodium; MTM - Cancer; MTM - Diabetes; MTM - Heart; MTM - Post-cancer; Peanut Free; Vegan; Vegetarian; Wellness; Wellness FLEX</t>
  </si>
  <si>
    <t>Ginger Prawn Salad &amp; Sesame Ginger Dressing</t>
  </si>
  <si>
    <t>All Meals; Seafood; Less than 600 calories; Dairy free</t>
  </si>
  <si>
    <t>diet: High Sugar; diet: High Sodium; diet: Mid Protein; diet: Mid Fat; diet: Mid Carb; diet: Low Calorie; day-part: Dinner; day-part: Lunch; diet: Pescatarian; bom: Salads, Bowls &amp; Stir Fries; hot-or-cold: Eaten Cold; merchandising-filters: Great for Lunch; merchandising-filters: Localized Pick; meal-composition: Bowl; meal-composition: Raw Veggie-Based Bowl; cuisine: Asian; cuisine: Indonesian; protein: Shellfish / Mollusk; protein: Shrimp</t>
  </si>
  <si>
    <t>https://www.cookunity.com/meals/ny-ginger-prawn-salad-sesame-dressing</t>
  </si>
  <si>
    <t>Contains Tree Nut; Dairy Free; Great for Lunch; Less Than 600 calories; Localized Pick</t>
  </si>
  <si>
    <t>Ginger-Miso Salmon</t>
  </si>
  <si>
    <t>All Meals; GLP-1 balanced; Seafood; Less than 600 calories; Low carbs; Dairy free</t>
  </si>
  <si>
    <t>merchandising-filters: GLP-1; merchandising-filters: Wellness; diet: High Sugar; diet: Mid Sodium; diet: Mid Fat; diet: High Protein; diet: Low Carb; diet: Low Calorie; meal-composition: Protein + Side; meal-composition: Protein + Carbs + Veggies; cuisine: Asian; cuisine: Japanese; protein: Fish; protein: Salmon; day-part: Dinner; diet: Pescatarian; diet: Mediterranean; hot-or-cold: Eaten Hot; bom: From the Sea; bom: Mains with Side; merchandising-filters: PD Support</t>
  </si>
  <si>
    <t>https://www.cookunity.com/meals/ny-stark-high-protein-ginger-miso-salmon-with-baby-bok-choy</t>
  </si>
  <si>
    <t>Dairy Free; GLP-1; High Protein; Less Than 600 calories; Low Carbs; PD Support; Peanut Free; Wellness</t>
  </si>
  <si>
    <t>Gochujang BBQ Pork Bowl</t>
  </si>
  <si>
    <t>meal-composition: Bowl; meal-composition: Grain/Pasta/Carb-Based Bowl; cuisine: Asian; cuisine: Korean; protein: Pork; protein: Pork Shoulder; diet: High Sugar; diet: High Sodium; diet: High Protein; diet: High Fat; diet: High Carb; diet: Mid Calorie; hot-or-cold: Eaten Hot; bom: Salads, Bowls &amp; Stir Fries; taste: Spicy; merchandising-filters: PD Support; merchandising-filters: Localized Pick</t>
  </si>
  <si>
    <t>https://www.cookunity.com/meals/ny-perez-bbq-kimchi-pork-bowl</t>
  </si>
  <si>
    <t>High Protein; Localized Pick; PD Support; Peanut Free; Spicy</t>
  </si>
  <si>
    <t>Golden Chicken Schnitzel</t>
  </si>
  <si>
    <t>diet: No Added Sugar; merchandising-filters: Energy Boost; diet: High Sodium; diet: High Fat; diet: Mid Carb; diet: Mid Calorie; diet: Low Sugar; diet: High Protein; cuisine: Eastern European; cuisine: European; protein: Chicken Breast; protein: Poultry; meal-composition: Protein + Carbs; meal-composition: Protein + Side; hot-or-cold: Eaten Hot; bom: Mains with Side; bom: From the Farm; day-part: Dinner</t>
  </si>
  <si>
    <t>https://www.cookunity.com/meals/ny-chicken-schnitzel-ratel</t>
  </si>
  <si>
    <t>Energy Boost; High Protein; Low Sugar; Soy Free; Tree Nut Free</t>
  </si>
  <si>
    <t>Golden Fried Tilapia</t>
  </si>
  <si>
    <t>meal-composition: Protein + Side; meal-composition: Protein + Carbs + Veggies; cuisine: Latin American; cuisine: Peruvian; protein: Fish; protein: Tilapia; taste: Spicy; diet: Pescatarian; bom: Mains with Side; bom: From the Sea; hot-or-cold: Eaten Hot; day-part: Dinner; merchandising-filters: Localized Pick</t>
  </si>
  <si>
    <t>https://www.cookunity.com/meals/ny-agrazal-tacu-tacu-with-fried-tilapia</t>
  </si>
  <si>
    <t>Dairy Free; Localized Pick; Spicy; Tree Nut Free</t>
  </si>
  <si>
    <t>Gouda Burger with JG secret sauce</t>
  </si>
  <si>
    <t>All Meals; Beef; Low carbs</t>
  </si>
  <si>
    <t>diet: High Sodium; diet: High Fat; diet: High Calorie; diet: Mid Sugar; diet: High Protein; diet: Low Carb; season: Summer; merchandising-filters: Localized Pick; merchandising-filters: Great for Lunch; protein: Ground Beef; protein: Beef; cuisine: American Comfort; cuisine: American; meal-composition: Burger; meal-composition: Handheld; usage: Freezer Friendly; hot-or-cold: Eaten Hot; day-part: Dinner; day-part: Lunch; bom: Sandwiches, Wraps &amp; Burgers</t>
  </si>
  <si>
    <t>https://www.cookunity.com/meals/ny-grody-gouda-burger-with-big-mac-sauce</t>
  </si>
  <si>
    <t>Great for Lunch; High Protein; Localized Pick; Low Carbs; Peanut Free</t>
  </si>
  <si>
    <t>Greek Herbed Meatballs</t>
  </si>
  <si>
    <t>merchandising-filters: Energy Boost; diet: Mid Sugar; diet: High Sodium; diet: High Protein; diet: High Fat; diet: Mid Carb; diet: Mid Calorie; cuisine: Greek; cuisine: European; meal-composition: Protein + Side; meal-composition: Protein + Carbs + Veggies; protein: Beef; protein: Ground Beef; hot-or-cold: Eaten Hot; day-part: Dinner; bom: Mains with Side; bom: From the Farm</t>
  </si>
  <si>
    <t>https://www.cookunity.com/meals/ny-admony-greek-meat-balls-and-pearl-couscous</t>
  </si>
  <si>
    <t>Green Goddess Pasta</t>
  </si>
  <si>
    <t>All Meals; Vegetarian; Low sodium</t>
  </si>
  <si>
    <t>diet: Mid Sugar; diet: Low Sodium; diet: Mid Protein; diet: High Fat; diet: High Carb; diet: Mid Calorie; diet: No Added Sugar; cuisine: Modern American; cuisine: American; usage: Freezer Friendly; hot-or-cold: Eaten Cold; hot-or-cold: Eaten Hot; bom: From the Farm; bom: Mains with Side; day-part: Dinner; diet: Vegetarian; protein: Legumes; protein: Plant-Based Protein; meal-composition: Regular; meal-composition: Pasta</t>
  </si>
  <si>
    <t>https://www.cookunity.com/meals/ny-green-goddess-pasta</t>
  </si>
  <si>
    <t>Contains Tree Nut; Low Sodium; Vegetarian</t>
  </si>
  <si>
    <t>Green Harvest Bowl</t>
  </si>
  <si>
    <t>All Meals; Vegetarian; Less than 600 calories; Low carbs; Gluten free; Low sodium</t>
  </si>
  <si>
    <t>merchandising-filters: Wellness; diet: High Sugar; diet: Low Sodium; diet: Mid Protein; diet: High Fat; diet: Low Carb; diet: Low Calorie; cuisine: Modern American; cuisine: American; protein: Cheese; protein: Eggs/Dairy; merchandising-filters: Great for Lunch; usage: Fast Heating; hot-or-cold: Eaten Cold; bom: Salads, Bowls &amp; Stir Fries; season: Summer; season: Spring; day-part: Dinner; day-part: Lunch; meal-composition: Bowl; meal-composition: Raw Veggie-Based Bowl; diet: Plant-Based; diet: Vegetarian; diet: Mediterranean</t>
  </si>
  <si>
    <t>https://www.cookunity.com/meals/ny-bengochea-green-harvest-bowl</t>
  </si>
  <si>
    <t>Contains Tree Nut; Gluten Free; Great for Lunch; Less Than 600 calories; Low Carbs; Low Sodium; Vegetarian; Wellness</t>
  </si>
  <si>
    <t>Green Salmon Bowl</t>
  </si>
  <si>
    <t>season: Spring; hot-or-cold: Eaten Hot; bom: Salads, Bowls &amp; Stir Fries; day-part: Lunch; day-part: Dinner; taste: Spicy; diet: Pescatarian; meal-composition: Bowl; meal-composition: Cooked Veggie-Based Bowl; cuisine: Latin American; cuisine: Mexican; protein: Fish; protein: Salmon; merchandising-filters: MTM - Cancer; diet: Keto; merchandising-filters: Wellness; diet: Low Sugar; diet: Low Sodium; diet: High Protein; diet: High Fat; diet: Low Carb; diet: Low Calorie; diet: No Added Sugar</t>
  </si>
  <si>
    <t>https://www.cookunity.com/meals/ny-lopez-keto-green-bowl-with-baked-salmon</t>
  </si>
  <si>
    <t>Gluten Free; High Protein; Keto Diet; Less Than 600 calories; Low Carbs; Low Sodium; Low Sugar; MTM - Cancer; Soy Free; Spicy; Tree Nut Free; Wellness</t>
  </si>
  <si>
    <t>Griddled Sesame Tofu</t>
  </si>
  <si>
    <t>meal-composition: Protein + Side; meal-composition: Protein + Carbs + Veggies; cuisine: Asian; cuisine: Chinese; protein: Plant-Based Protein; protein: Tofu; usage: Freezer Friendly; diet: Plant-Based; diet: Vegan; diet: Vegetarian; diet: Mid Sugar; diet: High Sodium; diet: High Protein; diet: High Fat; diet: Mid Carb; diet: Mid Calorie; hot-or-cold: Eaten Hot; bom: Mains with Side; bom: From the Earth; taste: Spicy; day-part: Dinner</t>
  </si>
  <si>
    <t>https://www.cookunity.com/meals/ny-zhao-zhang-sesame-tofu-bok-choy</t>
  </si>
  <si>
    <t>Dairy Free; High Protein; Peanut Free; Spicy; Vegan; Vegetarian</t>
  </si>
  <si>
    <t>Griddled Tofu Scallion Noodles</t>
  </si>
  <si>
    <t>All Meals; Vegan; Dairy free</t>
  </si>
  <si>
    <t>usage: Freezer Friendly; merchandising-filters: Energy Boost; diet: High Sugar; diet: High Sodium; diet: High Protein; diet: High Fat; diet: High Carb; diet: Mid Calorie; bom: Salads, Bowls &amp; Stir Fries; day-part: Dinner; hot-or-cold: Eaten Hot; diet: Vegan; diet: Plant-Based; season: Summer; merchandising-filters: Localized Pick; meal-composition: Protein + Side; meal-composition: Protein + Carbs + Veggies; cuisine: Asian; cuisine: Chinese; protein: Plant-Based Protein; protein: Tofu</t>
  </si>
  <si>
    <t>https://www.cookunity.com/meals/ny-griddled-tofu-with-scallion-noodles</t>
  </si>
  <si>
    <t>Dairy Free; Energy Boost; High Protein; Localized Pick; Peanut Free; Vegan</t>
  </si>
  <si>
    <t>Griddled Veggie Chimichanga</t>
  </si>
  <si>
    <t>diet: No Added Sugar; diet: High Sodium; diet: High Fat; diet: High Carb; diet: Mid Protein; diet: Mid Sugar; diet: Mid Calorie; merchandising-filters: Localized Pick; merchandising-filters: Great for Lunch; day-part: Lunch; day-part: Dinner; diet: Vegetarian; diet: Plant-Based; hot-or-cold: Eaten Hot; bom: Tortilla; protein: Legumes; protein: Plant-Based Protein; meal-composition: Wrap; meal-composition: Handheld; cuisine: Latin American; cuisine: Mexican</t>
  </si>
  <si>
    <t>https://www.cookunity.com/meals/ny-agrazal-vegetar%C3%ADan-%22chimichanga%22</t>
  </si>
  <si>
    <t>Great for Lunch; Localized Pick; Tree Nut Free; Vegetarian</t>
  </si>
  <si>
    <t>Grilled Chicken &amp; Farro Bowl</t>
  </si>
  <si>
    <t>All Meals; GLP-1 balanced; Poultry; Less than 600 calories; Low carbs</t>
  </si>
  <si>
    <t>merchandising-filters: MTM - Post-cancer; merchandising-filters: MTM - Cancer; merchandising-filters: MTM - Diabetes; merchandising-filters: GLP-1; merchandising-filters: Wellness; diet: Mid Sugar; diet: Mid Sodium; diet: High Protein; diet: Mid Fat; diet: Low Carb; diet: Low Calorie; diet: No Added Sugar; day-part: Dinner; day-part: Lunch; bom: Salads, Bowls &amp; Stir Fries; hot-or-cold: Eaten Cold; meal-composition: Bowl; meal-composition: Grain/Pasta/Carb-Based Bowl; cuisine: American; cuisine: Modern American; protein: Poultry; protein: Chicken Breast; merchandising-filters: Great for Lunch</t>
  </si>
  <si>
    <t>https://www.cookunity.com/meals/ny-agrazal-healthy-chicken-farro-bowl</t>
  </si>
  <si>
    <t>GLP-1; Great for Lunch; High Protein; Less Than 600 calories; Low Carbs; MTM - Cancer; MTM - Diabetes; MTM - Post-cancer; Tree Nut Free; Wellness</t>
  </si>
  <si>
    <t>Grilled Chicken &amp; Quinoa Bowl</t>
  </si>
  <si>
    <t>diet: No Added Sugar; merchandising-filters: MTM - Cancer; merchandising-filters: GLP-1; merchandising-filters: Energy Boost; merchandising-filters: Wellness; diet: High Fat; diet: Mid Sugar; diet: Mid Sodium; diet: Mid Carb; diet: High Protein; diet: Low Calorie; day-part: Dinner; day-part: Lunch; bom: Salads, Bowls &amp; Stir Fries; hot-or-cold: Eaten Hot; merchandising-filters: Great for Lunch; merchandising-filters: Chef Marketing Collections; protein: Chicken Breast; protein: Poultry; cuisine: Mexican; cuisine: Latin American; meal-composition: Grain/Pasta/Carb-Based Bowl; meal-composition: Bowl; season: Summer; season: Spring</t>
  </si>
  <si>
    <t>https://www.cookunity.com/meals/ny-mendez-chicken-quinoa-bowl</t>
  </si>
  <si>
    <t>Chef Marketing Collections; Contains Tree Nut; Dairy Free; Energy Boost; GLP-1; Gluten Free; Great for Lunch; High Protein; Less Than 600 calories; MTM - Cancer; Soy Free; Wellness</t>
  </si>
  <si>
    <t>Grilled Chicken Yakitori</t>
  </si>
  <si>
    <t>Sergio Tominaga</t>
  </si>
  <si>
    <t>meal-composition: Protein + Side; meal-composition: Protein + Carbs; cuisine: Asian; cuisine: Japanese; protein: Poultry; protein: Chicken Thigh; usage: Freezer Friendly; diet: High Sugar; diet: High Sodium; diet: High Protein; diet: High Fat; diet: High Carb; diet: High Calorie; day-part: Dinner; day-part: Lunch; bom: Salads, Bowls &amp; Stir Fries; hot-or-cold: Eaten Hot</t>
  </si>
  <si>
    <t>https://www.cookunity.com/meals/ny-tominaga--grilled-chicken-yakitori</t>
  </si>
  <si>
    <t>Grilled Chicken-Kale Caesar</t>
  </si>
  <si>
    <t>All Meals; Poultry; Low carbs; Keto diet</t>
  </si>
  <si>
    <t>diet: Keto; diet: Low Sugar; diet: High Sodium; diet: High Protein; diet: High Fat; diet: Low Carb; diet: Mid Calorie; diet: No Added Sugar; cuisine: Italian; cuisine: European; hot-or-cold: Eaten Hot; bom: Salads, Bowls &amp; Stir Fries; day-part: Lunch; day-part: Dinner; protein: Chicken Breast; protein: Poultry; meal-composition: Raw Veggie-Based Bowl; meal-composition: Bowl</t>
  </si>
  <si>
    <t>https://www.cookunity.com/meals/ny-delucie-new-packaging-grilled-chicken-kale-caesar</t>
  </si>
  <si>
    <t>High Protein; Keto Diet; Low Carbs; Low Sugar; Tree Nut Free</t>
  </si>
  <si>
    <t>Grilled Flat Iron Steak</t>
  </si>
  <si>
    <t>All Meals; GLP-1 balanced; Beef; Less than 600 calories; Low carbs; Gluten free; Dairy free; Low sodium</t>
  </si>
  <si>
    <t>merchandising-filters: MTM - Cancer; merchandising-filters: GLP-1; merchandising-filters: Wellness; diet: Mid Sugar; diet: Mid Fat; diet: Low Sodium; diet: High Protein; diet: Low Carb; diet: Low Calorie; cuisine: Modern American; cuisine: American; meal-composition: Protein + Side; meal-composition: Protein + Carbs + Veggies; protein: Beef; protein: Flank Steak; usage: Freezer Friendly; bom: Chef Specials (Extra Fee); hot-or-cold: Eaten Hot; day-part: Dinner; taste: Spicy; merchandising-filters: Fine Dining</t>
  </si>
  <si>
    <t>https://www.cookunity.com/meals/ny-perez-iron-steak</t>
  </si>
  <si>
    <t>Dairy Free; Fine Dining; GLP-1; Gluten Free; High Protein; Less Than 600 calories; Low Carbs; Low Sodium; MTM - Cancer; Peanut Free; Spicy; Wellness</t>
  </si>
  <si>
    <t>Grilled Grass-Fed Ribeye Steak</t>
  </si>
  <si>
    <t>BK Prime</t>
  </si>
  <si>
    <t>All Meals; Beef; Low carbs; Gluten free; Keto diet</t>
  </si>
  <si>
    <t>meal-composition: Protein + Side; meal-composition: Protein + Veggies; cuisine: American; cuisine: American Comfort; protein: Beef; protein: Rib Eye; diet: Keto; diet: Mid Sugar; diet: High Sodium; diet: High Protein; diet: High Fat; diet: Low Carb; diet: Mid Calorie; diet: No Added Sugar; merchandising-labels: Grass-Fed Steak; bom: From the Farm; bom: Mains with Side; day-part: Dinner; hot-or-cold: Eaten Hot</t>
  </si>
  <si>
    <t>https://www.cookunity.com/meals/ny-prime-grilled-grass-fed-ribeye-steak</t>
  </si>
  <si>
    <t>Gluten Free; High Protein; Keto Diet; Low Carbs; Peanut Free; Soy Free</t>
  </si>
  <si>
    <t>Grilled Jerk Shrimp Rasta Pasta</t>
  </si>
  <si>
    <t>All Meals; Seafood</t>
  </si>
  <si>
    <t>diet: Mid Sugar; diet: High Sodium; diet: High Protein; diet: High Fat; diet: Mid Carb; diet: Mid Calorie; usage: Freezer Friendly; bom: Pizza &amp; Pasta; diet: Pescatarian; taste: Spicy; day-part: Dinner; hot-or-cold: Eaten Hot; meal-composition: Pasta; meal-composition: Regular; cuisine: Caribbean; cuisine: Jamaican; protein: Shellfish / Mollusk; protein: Shrimp; merchandising-filters: Localized Pick</t>
  </si>
  <si>
    <t>https://www.cookunity.com/meals/ny-massiah-grilled-jerk-shrimp-rasta-pasta</t>
  </si>
  <si>
    <t>High Protein; Localized Pick; Peanut Free; Soy Free; Spicy</t>
  </si>
  <si>
    <t>Grilled Lemongrass Chicken Salad</t>
  </si>
  <si>
    <t>Amy Pryke</t>
  </si>
  <si>
    <t>All Meals; GLP-1 balanced; Poultry; Less than 600 calories; Low carbs; Gluten free; Dairy free</t>
  </si>
  <si>
    <t>merchandising-filters: GLP-1; merchandising-filters: Wellness; diet: High Sugar; diet: Mid Sodium; diet: High Protein; diet: Mid Fat; diet: Low Carb; diet: Low Calorie; cuisine: Vietnamese; cuisine: Asian; taste: Spicy; bom: Salads, Bowls &amp; Stir Fries; day-part: Dinner; day-part: Lunch; hot-or-cold: Eaten Cold; merchandising-filters: Great for Lunch; usage: Fast Heating; protein: Chicken Thigh; protein: Poultry; meal-composition: Raw Veggie-Based Bowl; meal-composition: Bowl</t>
  </si>
  <si>
    <t>https://www.cookunity.com/meals/ny-pryke-grilled-lemongrass-chicken-salad</t>
  </si>
  <si>
    <t>Dairy Free; GLP-1; Gluten Free; Great for Lunch; High Protein; Less Than 600 calories; Low Carbs; Peanut Free; Spicy; Wellness</t>
  </si>
  <si>
    <t>Grilled Mediterranean Salmon</t>
  </si>
  <si>
    <t>All Meals; Seafood; Low carbs; Gluten free; Dairy free</t>
  </si>
  <si>
    <t>meal-composition: Protein + Side; meal-composition: Protein + Carbs + Veggies; cuisine: European; cuisine: Mediterranean; protein: Fish; protein: Salmon; merchandising-filters: MTM - Cancer; merchandising-filters: Wellness; diet: Mid Sugar; diet: Mid Sodium; diet: High Protein; diet: High Fat; diet: Low Carb; diet: Mid Calorie; diet: No Added Sugar; bom: Mains with Side; bom: From the Sea; hot-or-cold: Eaten Hot; diet: Pescatarian; diet: Mediterranean</t>
  </si>
  <si>
    <t>https://www.cookunity.com/meals/ny-prime-grilled-mediterranean-salmon-and-vegetables</t>
  </si>
  <si>
    <t>Contains Tree Nut; Dairy Free; Gluten Free; High Protein; Low Carbs; MTM - Cancer; Soy Free; Wellness</t>
  </si>
  <si>
    <t>Grilled Naan Pizza Margherita</t>
  </si>
  <si>
    <t>merchandising-filters: Energy Boost; diet: Low Sugar; diet: High Sodium; diet: Mid Protein; diet: High Fat; diet: Mid Carb; diet: Mid Calorie; diet: Plant-Based; diet: Vegetarian; diet: Mediterranean; merchandising-filters: Chef Marketing Collections; merchandising-filters: Great for Lunch; day-part: Dinner; hot-or-cold: Eaten Hot; usage: Fast Heating; usage: No Utensils Required; bom: Pizza &amp; Pasta; meal-composition: Baked; meal-composition: Pizza/Flatbread; cuisine: European; cuisine: Italian; protein: Eggs/Dairy; protein: Cheese</t>
  </si>
  <si>
    <t>https://www.cookunity.com/meals/ny-delucie-naan-pizza-margherita</t>
  </si>
  <si>
    <t>Chef Marketing Collections; Energy Boost; Great for Lunch; Low Sugar; Tree Nut Free; Vegetarian</t>
  </si>
  <si>
    <t>Grilled Peruvian Chicken</t>
  </si>
  <si>
    <t>diet: High Sugar; diet: High Sodium; diet: High Protein; diet: High Fat; diet: Mid Carb; diet: Mid Calorie; diet: No Added Sugar; day-part: Dinner; hot-or-cold: Eaten Hot; bom: From the Farm; bom: Mains with Side; meal-composition: Protein + Side; meal-composition: Protein + Carbs + Veggies; cuisine: Latin American; cuisine: Peruvian; protein: Poultry; protein: Chicken Thigh; merchandising-filters: PD Support; merchandising-filters: Localized Pick</t>
  </si>
  <si>
    <t>https://www.cookunity.com/meals/ny-dieterle-grilled-peruvian-style-chicken</t>
  </si>
  <si>
    <t>Gluten Free; High Protein; Localized Pick; PD Support; Peanut Free</t>
  </si>
  <si>
    <t>Grilled Salmon with Mole Verde</t>
  </si>
  <si>
    <t>season: Summer; diet: Mid Sugar; diet: Mid Sodium; diet: High Protein; diet: Mid Fat; diet: Low Carb; diet: Low Calorie; diet: No Added Sugar; hot-or-cold: Eaten Hot; bom: Mains with Side; day-part: Dinner; usage: Fast Heating; diet: Pescatarian; meal-composition: Protein + Side; meal-composition: Protein + Carbs + Veggies; cuisine: Latin American; cuisine: Mexican; protein: Fish; protein: Salmon</t>
  </si>
  <si>
    <t>https://www.cookunity.com/meals/ny-steele-grilled-salmon-with-mole-verde</t>
  </si>
  <si>
    <t>Gluten Free; High Protein; Less Than 600 calories; Low Carbs; Peanut Free</t>
  </si>
  <si>
    <t>Grilled Shrimp Suya</t>
  </si>
  <si>
    <t>All Meals; GLP-1 balanced; Seafood; Less than 600 calories; Gluten free; Dairy free; Low sodium</t>
  </si>
  <si>
    <t>merchandising-filters: Wellness FLEX; diet: No Added Sugar; merchandising-filters: MTM - Post-cancer; merchandising-filters: MTM - Cancer; merchandising-filters: MTM - Heart; merchandising-filters: MTM - Diabetes; merchandising-filters: GLP-1; merchandising-filters: Energy Boost; merchandising-filters: Wellness; diet: Mid Fat; diet: Mid Carb; diet: Low Sugar; diet: Low Sodium; diet: High Protein; diet: Low Calorie; taste: Spicy; diet: Mediterranean; bom: From the Sea; bom: Mains with Side; hot-or-cold: Eaten Hot; day-part: Dinner; meal-composition: One-Pot; meal-composition: Curry; protein: Shellfish / Mollusk; protein: Shrimp; cuisine: African; cuisine: West African; merchandising-filters: PD Support</t>
  </si>
  <si>
    <t>https://www.cookunity.com/meals/ny-thiam-grilled-shrimp-suya</t>
  </si>
  <si>
    <t>Dairy Free; Energy Boost; GLP-1; Gluten Free; High Protein; Less Than 600 calories; Low Sodium; Low Sugar; MTM - Cancer; MTM - Diabetes; MTM - Heart; MTM - Post-cancer; PD Support; Soy Free; Spicy; Tree Nut Free; Wellness; Wellness FLEX</t>
  </si>
  <si>
    <t>Ground Beef Flaky Flatbread</t>
  </si>
  <si>
    <t>diet: High Sugar; diet: High Sodium; diet: High Protein; diet: High Fat; diet: Mid Carb; diet: High Calorie; hot-or-cold: Eaten Hot; day-part: Lunch; day-part: Dinner; bom: Pizza &amp; Pasta; usage: Freezer Friendly; meal-composition: Baked; meal-composition: Pizza/Flatbread; cuisine: Asian; cuisine: Indonesian; protein: Beef; protein: Ground Beef; merchandising-filters: Great for Lunch; merchandising-filters: Localized Pick</t>
  </si>
  <si>
    <t>https://www.cookunity.com/meals/ny-pryke-ground-beef-flaky-flatbread</t>
  </si>
  <si>
    <t>Great for Lunch; High Protein; Localized Pick; Tree Nut Free</t>
  </si>
  <si>
    <t>Guinness Shepherd's Pie</t>
  </si>
  <si>
    <t>merchandising-filters: Energy Boost; diet: High Sugar; diet: High Sodium; diet: High Protein; diet: High Fat; diet: Mid Carb; diet: Mid Calorie; diet: No Added Sugar; cuisine: Irish; cuisine: European; protein: Ground Beef; protein: Beef; merchandising-labels: 🎬Binging with Babish; meal-composition: Baked; meal-composition: Shepherd's Pie; day-part: Dinner; season: Winter; bom: Mains with Side; hot-or-cold: Eaten Hot; usage: Fast Heating</t>
  </si>
  <si>
    <t>https://www.cookunity.com/meals/ny---guinness-shepherd&amp;#x27;s-pie</t>
  </si>
  <si>
    <t>Haitian Epis Seared Shrimp</t>
  </si>
  <si>
    <t>diet: Pescatarian; diet: Mid Sugar; diet: High Sodium; diet: Mid Protein; diet: Mid Fat; diet: Mid Carb; diet: Low Calorie; diet: No Added Sugar; day-part: Dinner; bom: Mains with Side; hot-or-cold: Eaten Hot; usage: Fast Heating; meal-composition: Protein + Side; meal-composition: Protein + Carbs + Veggies; cuisine: Caribbean; cuisine: Haitian; protein: Shrimp; protein: Shellfish / Mollusk</t>
  </si>
  <si>
    <t>https://www.cookunity.com/meals/ny-cantave-seared-shrimp-with-citrus-epis-pan-sauce-and-stewed-vegetables</t>
  </si>
  <si>
    <t>Gluten Free; Less Than 600 calories; Peanut Free</t>
  </si>
  <si>
    <t>Haitian Vegetable Stew (Legume)</t>
  </si>
  <si>
    <t>meal-composition: One-Pot; meal-composition: Stew/Chili; cuisine: Caribbean; cuisine: Haitian; protein: Plant-Based Protein; protein: Legumes; diet: High Sugar; diet: High Sodium; diet: Mid Protein; diet: High Fat; diet: High Carb; diet: Mid Calorie; day-part: Dinner; bom: Soup &amp; Stews; hot-or-cold: Eaten Hot; diet: Plant-Based; diet: Vegan; diet: Vegetarian; season: Fall; season: Winter; merchandising-filters: Localized Pick</t>
  </si>
  <si>
    <t>https://www.cookunity.com/meals/ny-cantave-haitian-stewed-vegetables-%22legumes%22</t>
  </si>
  <si>
    <t>Dairy Free; Gluten Free; Localized Pick; Peanut Free; Vegan; Vegetarian</t>
  </si>
  <si>
    <t>Handmade Chicken, Artichoke, and Spinach Stuffed Shells</t>
  </si>
  <si>
    <t>All Meals; Poultry; Low carbs; Low sodium; Keto diet</t>
  </si>
  <si>
    <t>day-part: Dinner; bom: Pizza &amp; Pasta; hot-or-cold: Eaten Hot; diet: No Added Sugar; diet: Mid Calorie; diet: Low Carb; diet: High Fat; diet: Mid Protein; diet: Low Sodium; diet: Mid Sugar; diet: Keto; merchandising-filters: Virta Premium Meals; meal-composition: Pasta; meal-composition: Stuffed; cuisine: European; cuisine: Italian; protein: Poultry; protein: Chicken Breast</t>
  </si>
  <si>
    <t>https://www.cookunity.com/meals/ny-handmade-chicken-artichoke-spinach-stuffed-shells</t>
  </si>
  <si>
    <t>Keto Diet; Low Carbs; Low Sodium; Soy Free; Tree Nut Free; Virta Premium Meals</t>
  </si>
  <si>
    <t>Harissa Vegan Chili</t>
  </si>
  <si>
    <t>diet: High Sodium; diet: Mid Protein; diet: Mid Sugar; diet: Mid Fat; diet: Mid Carb; diet: Low Calorie; usage: Freezer Friendly; hot-or-cold: Eaten Hot; bom: Mains with Side; bom: From the Earth; taste: Spicy; day-part: Dinner; meal-composition: Protein + Side; meal-composition: Protein + Carbs + Veggies; protein: Plant-Based Protein; protein: Legumes; cuisine: Middle Eastern; cuisine: Israeli; diet: Vegetarian; diet: Vegan; diet: Plant-Based</t>
  </si>
  <si>
    <t>https://www.cookunity.com/meals/ny-admony-middle-eastern-vegan-chili</t>
  </si>
  <si>
    <t>Dairy Free; Gluten Free; Less Than 600 calories; Peanut Free; Soy Free; Spicy; Vegan; Vegetarian</t>
  </si>
  <si>
    <t>Heart of Palm Quinoa Salad</t>
  </si>
  <si>
    <t>All Meals; GLP-1 balanced; Vegetarian; Vegan; Less than 600 calories; Dairy free</t>
  </si>
  <si>
    <t>diet: No Added Sugar; merchandising-filters: MTM - Post-cancer; merchandising-filters: GLP-1; merchandising-filters: Wellness; diet: High Fat; diet: Mid Protein; diet: Mid Sugar; diet: Mid Sodium; diet: Mid Carb; diet: Low Calorie; bom: Salads, Bowls &amp; Stir Fries; hot-or-cold: Eaten Cold; day-part: Lunch; day-part: Dinner; meal-composition: Grain/Pasta/Carb-Based Bowl; meal-composition: Bowl; protein: Plant-Based Protein; protein: Legumes; cuisine: Asian; cuisine: Japanese; merchandising-filters: PD Support; merchandising-filters: Great for Lunch; diet: Vegetarian; diet: Vegan; diet: Plant-Based</t>
  </si>
  <si>
    <t>https://www.cookunity.com/meals/ny-tominaga--quinoa-salad</t>
  </si>
  <si>
    <t>Dairy Free; GLP-1; Great for Lunch; Less Than 600 calories; MTM - Post-cancer; PD Support; Peanut Free; Vegan; Vegetarian; Wellness</t>
  </si>
  <si>
    <t>Herb Marinated Chicken and Yellow Rice</t>
  </si>
  <si>
    <t>All Meals; Poultry; Gluten free; Dairy free; Low sodium</t>
  </si>
  <si>
    <t>merchandising-filters: Energy Boost; diet: Mid Sugar; diet: Low Sodium; diet: High Protein; diet: High Fat; diet: Mid Carb; diet: Mid Calorie; diet: No Added Sugar; protein: Chicken Thigh; protein: Poultry; cuisine: Israeli; cuisine: Middle Eastern; meal-composition: Protein + Carbs + Veggies; meal-composition: Protein + Side; season: Summer; hot-or-cold: Eaten Hot; bom: Mains with Side; day-part: Dinner</t>
  </si>
  <si>
    <t>https://www.cookunity.com/meals/ny-solomonov-pargiyot</t>
  </si>
  <si>
    <t>Dairy Free; Energy Boost; Gluten Free; High Protein; Low Sodium; Soy Free; Tree Nut Free</t>
  </si>
  <si>
    <t>Herb-Roasted Chicken Bowl</t>
  </si>
  <si>
    <t>CU .</t>
  </si>
  <si>
    <t>day-part: Lunch; day-part: Dinner; season: Spring; bom: Salads, Bowls &amp; Stir Fries; hot-or-cold: Eaten Hot; hot-or-cold: Eaten Cold; usage: Fast Heating; merchandising-filters: Great for Lunch; merchandising-filters: Localized Pick; merchandising-filters: Energy Boost; diet: High Sugar; diet: High Sodium; diet: High Protein; diet: Mid Fat; diet: Mid Carb; diet: Mid Calorie; cuisine: Modern American; cuisine: American; protein: Chicken Breast; protein: Poultry; meal-composition: Grain/Pasta/Carb-Based Bowl; meal-composition: Grain Bowl; meal-composition: Bowl</t>
  </si>
  <si>
    <t>https://www.cookunity.com/meals/ny-.-roasted-chicken-bowl-w-green-goddess</t>
  </si>
  <si>
    <t>Energy Boost; Great for Lunch; High Protein; Localized Pick; Peanut Free; Soy Free</t>
  </si>
  <si>
    <t>Herb-Roasted Seabass</t>
  </si>
  <si>
    <t>All Meals; Seafood; Dairy free; Low sodium</t>
  </si>
  <si>
    <t>merchandising-filters: Energy Boost; diet: High Fat; diet: Mid Sugar; diet: Mid Carb; diet: Mid Calorie; diet: Low Sodium; diet: High Protein; day-part: Dinner; merchandising-filters: PD Support; merchandising-filters: Fine Dining; hot-or-cold: Eaten Hot; bom: Chef Specials (Extra Fee); meal-composition: Protein + Side; meal-composition: Protein + Carbs + Veggies; cuisine: European; cuisine: Italian; protein: Fish; protein: Sea Bass; diet: Pescatarian</t>
  </si>
  <si>
    <t>https://www.cookunity.com/meals/ny-forgione-herb-roasted-seabass-with-mediterranean-roasted-vegetables</t>
  </si>
  <si>
    <t>Dairy Free; Energy Boost; Fine Dining; High Protein; Low Sodium; PD Support; Tree Nut Free</t>
  </si>
  <si>
    <t>Hidden Veggies Beef Bolognese</t>
  </si>
  <si>
    <t>diet: High Sodium; diet: High Carb; diet: Mid Protein; diet: Mid Sugar; diet: Mid Fat; diet: Mid Calorie; cuisine: Italian; cuisine: European; merchandising-labels: 🧸 Kids Meal; day-part: Dinner; bom: Kid's Meals; hot-or-cold: Eaten Hot; merchandising-filters: PD Support; merchandising-filters: Family Favorites; protein: Ground Beef; protein: Beef; meal-composition: Regular; meal-composition: Pasta</t>
  </si>
  <si>
    <t>https://www.cookunity.com/meals/ny-delucie-linguine-with-beef-bolognese</t>
  </si>
  <si>
    <t>Family Favorites; PD Support; Soy Free; Tree Nut Free</t>
  </si>
  <si>
    <t>Hoisin-Glazed Mushrooms</t>
  </si>
  <si>
    <t>diet: Plant-Based; diet: Vegan; diet: Vegetarian; meal-composition: Protein + Side; meal-composition: Protein + Carbs + Veggies; cuisine: Asian; cuisine: Laotian; protein: Plant-Based Protein; protein: Fable; diet: High Sugar; diet: High Sodium; diet: Mid Protein; diet: Mid Fat; diet: High Carb; diet: Low Calorie; hot-or-cold: Eaten Hot; day-part: Dinner; taste: Spicy; bom: From the Earth; bom: Mains with Side; merchandising-filters: Localized Pick</t>
  </si>
  <si>
    <t>https://www.cookunity.com/meals/ny-schwader-hoisin-glazed-mushrooms-%26-brussels-sprouts</t>
  </si>
  <si>
    <t>Dairy Free; Less Than 600 calories; Localized Pick; Peanut Free; Spicy; Vegan; Vegetarian</t>
  </si>
  <si>
    <t>Hoisin-Glazed Salmon</t>
  </si>
  <si>
    <t>meal-composition: Protein + Side; meal-composition: Protein + Carbs + Veggies; cuisine: Asian; cuisine: Laotian; protein: Fish; protein: Salmon; diet: High Sugar; diet: High Sodium; diet: High Protein; diet: Mid Fat; diet: Mid Carb; diet: Low Calorie; bom: Mains with Side; bom: From the Sea; diet: Pescatarian; day-part: Dinner; taste: Spicy; hot-or-cold: Eaten Hot; merchandising-filters: Localized Pick</t>
  </si>
  <si>
    <t>https://www.cookunity.com/meals/ny-schwader-hoisin-glazed-salmon</t>
  </si>
  <si>
    <t>Dairy Free; High Protein; Less Than 600 calories; Localized Pick; Peanut Free; Spicy</t>
  </si>
  <si>
    <t>Indian Butter Shrimp Curry</t>
  </si>
  <si>
    <t>diet: Mid Sugar; diet: High Sodium; diet: Mid Protein; diet: High Fat; diet: Mid Carb; diet: Mid Calorie; diet: No Added Sugar; cuisine: Indian; cuisine: Asian; meal-composition: Protein + Side; meal-composition: Protein + Carbs; protein: Shellfish / Mollusk; protein: Shrimp; bom: Mains with Side; bom: From the Sea; taste: Spicy; day-part: Dinner; diet: Pescatarian; hot-or-cold: Eaten Hot; usage: Freezer Friendly</t>
  </si>
  <si>
    <t>https://www.cookunity.com/meals/ny-sreenivas-indian-butter-shrimp-curry</t>
  </si>
  <si>
    <t>Gluten Free; Soy Free; Spicy; Tree Nut Free</t>
  </si>
  <si>
    <t>Italian Sausage Zoodle 'Lasagna'</t>
  </si>
  <si>
    <t>diet: Keto; diet: Mid Sugar; diet: High Sodium; diet: High Protein; diet: High Fat; diet: Low Carb; diet: High Calorie; cuisine: Modern American; cuisine: American; protein: Pork Sausage; protein: Pork; meal-composition: Protein + Veggies; meal-composition: Protein + Side; season: Summer; day-part: Dinner; taste: Spicy; bom: Pizza &amp; Pasta</t>
  </si>
  <si>
    <t>https://www.cookunity.com/meals/zucchini-lasagna-flores</t>
  </si>
  <si>
    <t>Gluten Free; High Protein; Keto Diet; Low Carbs; Peanut Free; Soy Free; Spicy</t>
  </si>
  <si>
    <t>Jamdown Jerk Chicken Thighs</t>
  </si>
  <si>
    <t>diet: High Sugar; diet: High Sodium; diet: High Carb; diet: Mid Fat; diet: Mid Calorie; diet: High Protein; cuisine: Jamaican; cuisine: Caribbean; day-part: Dinner; bom: Mains with Side; hot-or-cold: Eaten Hot; usage: Fast Heating; taste: Spicy; meal-composition: Protein + Side; meal-composition: Protein + Carbs; protein: Poultry; protein: Chicken Thigh</t>
  </si>
  <si>
    <t>https://www.cookunity.com/meals/ny-sampath-jamdown-jerk-chicken---reboot</t>
  </si>
  <si>
    <t>Dairy Free; High Protein; Peanut Free; Spicy</t>
  </si>
  <si>
    <t>Japanese Chicken Meatballs</t>
  </si>
  <si>
    <t>Ilan Hall</t>
  </si>
  <si>
    <t>diet: Mid Sugar; diet: High Sodium; diet: High Protein; diet: Mid Fat; diet: Mid Carb; diet: Low Calorie; cuisine: Japanese; cuisine: Asian; protein: Ground Chicken; protein: Poultry; meal-composition: Protein + Carbs + Veggies; meal-composition: Protein + Side; day-part: Dinner; bom: Mains with Side; hot-or-cold: Eaten Hot; usage: Fast Heating; taste: Spicy</t>
  </si>
  <si>
    <t>https://www.cookunity.com/meals/ny-hall-japanese-chicken-meatballs-with-potatoes%2C-bok-choy</t>
  </si>
  <si>
    <t>High Protein; Less Than 600 calories; Spicy; Tree Nut Free</t>
  </si>
  <si>
    <t>Japanese-Style Chicken Curry</t>
  </si>
  <si>
    <t>usage: Freezer Friendly; meal-composition: One-Pot; meal-composition: Curry; cuisine: Asian; cuisine: Japanese; protein: Poultry; protein: Chicken Thigh; merchandising-filters: GLP-1; merchandising-filters: Energy Boost; merchandising-filters: Wellness; diet: Mid Sugar; diet: Mid Sodium; diet: High Protein; diet: Mid Fat; diet: Mid Carb; diet: Low Calorie; day-part: Dinner; hot-or-cold: Eaten Hot; bom: From the Farm; bom: Mains with Side</t>
  </si>
  <si>
    <t>https://www.cookunity.com/meals/ny-sampath-wholesome-japanese-chicken-curry</t>
  </si>
  <si>
    <t>Dairy Free; Energy Boost; GLP-1; High Protein; Less Than 600 calories; Tree Nut Free; Wellness</t>
  </si>
  <si>
    <t>Japanese-Style Ribeye Slice Curry</t>
  </si>
  <si>
    <t>season: Winter; diet: High Sugar; diet: High Sodium; diet: Mid Protein; diet: High Fat; diet: High Carb; diet: Mid Calorie; bom: Mains with Side; bom: From the Farm; day-part: Dinner; hot-or-cold: Eaten Hot; usage: Freezer Friendly; meal-composition: One-Pot; meal-composition: Curry; cuisine: Asian; cuisine: Japanese; protein: Beef; protein: Rib Eye</t>
  </si>
  <si>
    <t>https://www.cookunity.com/meals/ny-tominaga--japanese-style-beef-curry</t>
  </si>
  <si>
    <t>Jerk Flank Steak</t>
  </si>
  <si>
    <t>All Meals; Beef; Dairy free</t>
  </si>
  <si>
    <t>meal-composition: Protein + Side; meal-composition: Protein + Carbs + Veggies; cuisine: Caribbean; cuisine: Jamaican; protein: Beef; protein: Flank Steak; usage: Freezer Friendly; diet: High Sugar; diet: High Sodium; diet: High Protein; diet: Mid Fat; diet: Mid Carb; diet: Mid Calorie; bom: From the Farm; bom: Mains with Side; taste: Spicy; day-part: Dinner; hot-or-cold: Eaten Hot</t>
  </si>
  <si>
    <t>https://www.cookunity.com/meals/ny-massiah-jerk-steak-with-cassava</t>
  </si>
  <si>
    <t>Jerked Chicken Rasta Pasta</t>
  </si>
  <si>
    <t>merchandising-filters: Energy Boost; diet: High Sugar; diet: High Sodium; diet: High Protein; diet: High Fat; diet: Mid Carb; diet: Mid Calorie; cuisine: Jamaican; cuisine: Modern American; cuisine: Caribbean; cuisine: American; merchandising-filters: Localized Pick; merchandising-filters: Chef Marketing Collections; taste: Spicy; bom: Pizza &amp; Pasta; hot-or-cold: Eaten Hot; day-part: Dinner; usage: Freezer Friendly; meal-composition: Pasta; meal-composition: Regular; protein: Poultry; protein: Chicken Breast</t>
  </si>
  <si>
    <t>https://www.cookunity.com/meals/ny-jerked-blackened-chicken</t>
  </si>
  <si>
    <t>Chef Marketing Collections; Energy Boost; High Protein; Localized Pick; Spicy; Tree Nut Free</t>
  </si>
  <si>
    <t>JG's Adobo Chicken Mac n' Cheese</t>
  </si>
  <si>
    <t>meal-composition: Pasta; meal-composition: Baked/Gratin; cuisine: American; cuisine: American Comfort; protein: Poultry; protein: Chicken Breast; day-part: Dinner; bom: Pizza &amp; Pasta; hot-or-cold: Eaten Hot; diet: High Sugar; diet: High Sodium; diet: High Protein; diet: High Fat; diet: High Carb; diet: Mid Calorie; diet: No Added Sugar</t>
  </si>
  <si>
    <t>https://www.cookunity.com/meals/ny-garces-chicken-mac-n-cheese</t>
  </si>
  <si>
    <t>Jollof Pasta &amp; Primavera Vegetables</t>
  </si>
  <si>
    <t>All Meals; Vegan; Less than 600 calories; Dairy free</t>
  </si>
  <si>
    <t>diet: No Added Sugar; diet: High Sugar; diet: High Sodium; diet: High Carb; diet: Mid Protein; diet: Mid Fat; diet: Low Calorie; cuisine: West African; cuisine: African; meal-composition: Pasta; meal-composition: Regular; protein: No Protein; hot-or-cold: Eaten Hot; merchandising-filters: Green Eating; diet: Plant-Based; diet: Vegan; day-part: Dinner; bom: Pizza &amp; Pasta; usage: Freezer Friendly; merchandising-labels: Low Emissions; taste: Spicy</t>
  </si>
  <si>
    <t>https://www.cookunity.com/meals/ny-thiam-jollof-pasta-vegetables</t>
  </si>
  <si>
    <t>Dairy Free; Green Eating; Less Than 600 calories; Peanut Free; Soy Free; Spicy; Vegan</t>
  </si>
  <si>
    <t>Kale Salad with Chili Roasted Shrimp</t>
  </si>
  <si>
    <t>All Meals; Seafood; Low carbs; Gluten free</t>
  </si>
  <si>
    <t>diet: Mid Sugar; diet: High Sodium; diet: High Protein; diet: High Fat; diet: Low Carb; diet: Mid Calorie; cuisine: American Comfort; cuisine: American; taste: Spicy; meal-composition: Bowl; meal-composition: Raw Veggie-Based Bowl; protein: Shellfish / Mollusk; protein: Shrimp</t>
  </si>
  <si>
    <t>https://www.cookunity.com/meals/ny-chili-roasted-shrimp</t>
  </si>
  <si>
    <t>Gluten Free; High Protein; Low Carbs; Peanut Free; Soy Free; Spicy</t>
  </si>
  <si>
    <t>Kale-Chickpea Protein Salad</t>
  </si>
  <si>
    <t>All Meals; Vegetarian; Gluten free</t>
  </si>
  <si>
    <t>diet: No Added Sugar; diet: High Sodium; diet: High Fat; diet: Mid Protein; diet: Mid Sugar; diet: Mid Carb; diet: Mid Calorie; diet: Plant-Based; diet: Vegetarian; hot-or-cold: Eaten Cold; day-part: Lunch; day-part: Dinner; bom: Salads, Bowls &amp; Stir Fries; usage: Fast Heating; merchandising-filters: Great for Lunch; merchandising-filters: Localized Pick; meal-composition: Bowl; meal-composition: Raw Veggie-Based Bowl; cuisine: Middle Eastern; cuisine: Israeli; protein: Plant-Based Protein; protein: Legumes</t>
  </si>
  <si>
    <t>https://www.cookunity.com/meals/ny-solomonov-kale-chickpea-salad</t>
  </si>
  <si>
    <t>Contains Tree Nut; Gluten Free; Great for Lunch; Localized Pick; Soy Free; Vegetarian</t>
  </si>
  <si>
    <t>Korean Chili Chicken</t>
  </si>
  <si>
    <t>All Meals; GLP-1 balanced; Poultry; Less than 600 calories; Dairy free; Low sodium</t>
  </si>
  <si>
    <t>merchandising-filters: MTM - Cancer; merchandising-filters: GLP-1; merchandising-filters: Energy Boost; merchandising-filters: Wellness; diet: Low Sugar; diet: Low Sodium; diet: High Protein; diet: Mid Fat; diet: Mid Carb; diet: Low Calorie; diet: No Added Sugar; cuisine: Korean; cuisine: Asian; taste: Spicy; usage: Fast Heating; hot-or-cold: Eaten Hot; bom: Mains with Side; day-part: Dinner; protein: Chicken Breast; protein: Poultry; meal-composition: Protein + Carbs + Veggies; meal-composition: Protein + Side</t>
  </si>
  <si>
    <t>https://www.cookunity.com/meals/ny-choi-korean-chili-chicken-mtm</t>
  </si>
  <si>
    <t>Dairy Free; Energy Boost; GLP-1; High Protein; Less Than 600 calories; Low Sodium; Low Sugar; MTM - Cancer; Spicy; Tree Nut Free; Wellness</t>
  </si>
  <si>
    <t>Kung Pao Chicken with Jasmine Rice</t>
  </si>
  <si>
    <t>diet: High Sugar; diet: Mid Sodium; diet: High Protein; diet: High Fat; diet: High Carb; diet: Mid Calorie; meal-composition: Sauteed; meal-composition: Grain-Based Stir Fry; cuisine: Asian; cuisine: Chinese; protein: Poultry; protein: Chicken Breast; day-part: Dinner; bom: Mains with Side; hot-or-cold: Eaten Hot; usage: Fast Heating; merchandising-filters: PD Support</t>
  </si>
  <si>
    <t>https://www.cookunity.com/meals/ny-schwader-kung-pao-chicken-%26-peanuts</t>
  </si>
  <si>
    <t>Contains Peanut; Dairy Free; High Protein; PD Support</t>
  </si>
  <si>
    <t>Lamb Ossobuco over Saffron Mashed Potatoes</t>
  </si>
  <si>
    <t>meal-composition: Protein + Side; meal-composition: Protein + Carbs + Veggies; cuisine: European; cuisine: Italian; protein: Lamb; protein: Lamb Leg; diet: Mid Sugar; diet: High Sodium; diet: High Protein; diet: High Fat; diet: Low Carb; diet: Mid Calorie; diet: No Added Sugar; merchandising-filters: Fine Dining; day-part: Dinner; bom: Chef Specials (Extra Fee); hot-or-cold: Eaten Hot</t>
  </si>
  <si>
    <t>https://www.cookunity.com/meals/ny-lopez-lamb-ossobuco-over-saffron-risotto</t>
  </si>
  <si>
    <t>Fine Dining; High Protein; Low Carbs; Tree Nut Free</t>
  </si>
  <si>
    <t>Leek &amp; Herb Frittata</t>
  </si>
  <si>
    <t>merchandising-filters: Wellness FLEX; merchandising-filters: MTM - Post-cancer; merchandising-filters: MTM - Diabetes; merchandising-filters: MTM - Heart; merchandising-filters: GLP-1; merchandising-filters: Wellness; diet: Low Sugar; diet: Low Sodium; diet: Mid Protein; diet: Mid Fat; diet: Mid Carb; diet: Low Calorie; diet: No Added Sugar; cuisine: French; cuisine: European; protein: Eggs; protein: Eggs/Dairy; hot-or-cold: Eaten Hot; bom: Mains with Side; day-part: Dinner; meal-composition: Frittata; meal-composition: Baked; diet: Plant-Based; diet: Vegetarian; diet: Mediterranean</t>
  </si>
  <si>
    <t>https://www.cookunity.com/meals/ny-flores-b2bhm---french-farmhouse-frittata</t>
  </si>
  <si>
    <t>GLP-1; Less Than 600 calories; Low Sodium; Low Sugar; MTM - Diabetes; MTM - Heart; MTM - Post-cancer; Peanut Free; Soy Free; Vegetarian; Wellness; Wellness FLEX</t>
  </si>
  <si>
    <t>Lemon Baked Tilapia with Cajun Cream Sauce</t>
  </si>
  <si>
    <t>All Meals; GLP-1 balanced; Seafood; Less than 600 calories; Low carbs; Low sodium</t>
  </si>
  <si>
    <t>meal-composition: Protein + Side; meal-composition: Protein + Carbs + Veggies; cuisine: American; cuisine: Cajun/Creole; protein: Fish; protein: Tilapia; diet: Pescatarian; merchandising-filters: MTM - Cancer; merchandising-filters: GLP-1; merchandising-filters: Wellness; diet: Low Sugar; diet: Low Sodium; diet: High Protein; diet: Mid Fat; diet: Low Carb; diet: Low Calorie; diet: No Added Sugar; hot-or-cold: Eaten Hot; bom: From the Sea; bom: Mains with Side; day-part: Dinner; merchandising-filters: Chef Marketing Collections</t>
  </si>
  <si>
    <t>https://www.cookunity.com/meals/ny-garcia-lemon-tilapia</t>
  </si>
  <si>
    <t>Chef Marketing Collections; GLP-1; High Protein; Less Than 600 calories; Low Carbs; Low Sodium; Low Sugar; MTM - Cancer; Peanut Free; Soy Free; Wellness</t>
  </si>
  <si>
    <t>Lemon Chicken</t>
  </si>
  <si>
    <t>All Meals; GLP-1 balanced; Poultry; Low carbs; Gluten free; Low sodium</t>
  </si>
  <si>
    <t>meal-composition: Protein + Side; meal-composition: Protein + Carbs + Veggies; cuisine: European; cuisine: Mediterranean; protein: Poultry; protein: Chicken Breast; merchandising-filters: MTM - Cancer; merchandising-filters: GLP-1; merchandising-filters: Wellness; diet: Mid Sugar; diet: Low Sodium; diet: High Protein; diet: High Fat; diet: Low Carb; diet: Mid Calorie; diet: No Added Sugar; hot-or-cold: Eaten Hot; bom: Mains with Side; bom: From the Farm; day-part: Dinner; usage: Freezer Friendly; merchandising-filters: PD Support</t>
  </si>
  <si>
    <t>https://www.cookunity.com/meals/ny-thaimee-greek-lemon-chicken</t>
  </si>
  <si>
    <t>GLP-1; Gluten Free; High Protein; Low Carbs; Low Sodium; MTM - Cancer; PD Support; Peanut Free; Soy Free; Wellness</t>
  </si>
  <si>
    <t>Lemon Ginger Lentil Borscht</t>
  </si>
  <si>
    <t>diet: Plant-Based; diet: Vegan; diet: Mediterranean; diet: High Sugar; diet: High Sodium; diet: Mid Protein; diet: Mid Fat; diet: Mid Carb; diet: Low Calorie; diet: No Added Sugar; cuisine: Eastern European; cuisine: European; meal-composition: One-Pot; meal-composition: Soup; protein: Plant-Based Protein; protein: Legumes; merchandising-labels: Clean Line; usage: Freezer Friendly; hot-or-cold: Eaten Hot; day-part: Dinner; day-part: Lunch; merchandising-filters: Clean Eating; bom: Soup &amp; Stews; merchandising-filters: Green Eating</t>
  </si>
  <si>
    <t>https://www.cookunity.com/meals/ny-elkousy-nourishing-ginger-lentil-borscht</t>
  </si>
  <si>
    <t>Clean Eating; Dairy Free; Gluten Free; Green Eating; Less Than 600 calories; Peanut Free; Vegan</t>
  </si>
  <si>
    <t>Lemon Herb Chicken Wrap</t>
  </si>
  <si>
    <t>merchandising-filters: Energy Boost; diet: Mid Sugar; diet: High Sodium; diet: High Protein; diet: High Fat; diet: Mid Carb; diet: Mid Calorie; diet: No Added Sugar; cuisine: Modern American; cuisine: American; protein: Chicken Breast; protein: Poultry; meal-composition: Wrap; meal-composition: Handheld; day-part: Lunch; day-part: Dinner; merchandising-filters: Great for Lunch; merchandising-filters: PD Support; season: Summer; hot-or-cold: Eaten Hot; usage: Fast Heating; usage: No Utensils Required; bom: Tortilla</t>
  </si>
  <si>
    <t>https://www.cookunity.com/meals/ny-nawab-mediterranean-chicken-wrap</t>
  </si>
  <si>
    <t>Energy Boost; Great for Lunch; High Protein; PD Support; Peanut Free</t>
  </si>
  <si>
    <t>Lemon Pesto Cod</t>
  </si>
  <si>
    <t>merchandising-filters: MTM - Cancer; merchandising-filters: Wellness; diet: Mid Sugar; diet: Mid Sodium; diet: High Protein; diet: High Fat; diet: Low Carb; diet: Mid Calorie; diet: No Added Sugar; cuisine: Italian; cuisine: European; season: Summer; hot-or-cold: Eaten Hot; day-part: Dinner; bom: Mains with Side; bom: From the Sea; meal-composition: Protein + Side; meal-composition: Protein + Carbs + Veggies; protein: Fish; protein: Cod; diet: Pescatarian</t>
  </si>
  <si>
    <t>https://www.cookunity.com/meals/pan-fried-basil-pesto-cod</t>
  </si>
  <si>
    <t>Contains Tree Nut; Gluten Free; High Protein; Low Carbs; MTM - Cancer; Soy Free; Wellness</t>
  </si>
  <si>
    <t>Lemon Roasted Chicken</t>
  </si>
  <si>
    <t>Marcus Samuelsson</t>
  </si>
  <si>
    <t>meal-composition: Protein + Side; meal-composition: Protein + Carbs + Veggies; cuisine: African; cuisine: South African; protein: Poultry; protein: Chicken Thigh; diet: High Sugar; diet: High Sodium; diet: High Protein; diet: High Fat; diet: Low Carb; diet: Mid Calorie; diet: No Added Sugar; taste: Spicy; hot-or-cold: Eaten Hot; merchandising-filters: PD Support; bom: Mains with Side; day-part: Dinner</t>
  </si>
  <si>
    <t>https://www.cookunity.com/meals/ny-samuelsson-lemon-roasted-chicken-with-herb-fried-rice</t>
  </si>
  <si>
    <t>High Protein; Low Carbs; PD Support; Peanut Free; Spicy</t>
  </si>
  <si>
    <t>Lennon’s Baked Wild-Caught Salmon</t>
  </si>
  <si>
    <t>All Meals; GLP-1 balanced; Seafood; Less than 600 calories; Low carbs; Gluten free; Low sodium</t>
  </si>
  <si>
    <t>merchandising-filters: MTM - Cancer; merchandising-filters: GLP-1; merchandising-filters: Wellness; diet: Low Sugar; diet: Low Sodium; diet: High Protein; diet: High Fat; diet: Low Carb; diet: Low Calorie; diet: No Added Sugar; cuisine: Mediterranean; cuisine: European; meal-composition: Protein + Side; meal-composition: Protein + Carbs + Veggies; protein: Fish; protein: Salmon; bom: Chef Specials (Extra Fee); hot-or-cold: Eaten Hot; day-part: Dinner; diet: Mediterranean; diet: Pescatarian; merchandising-filters: Clean Eating</t>
  </si>
  <si>
    <t>https://www.cookunity.com/meals/ny-thaimee-the-lennon%E2%80%99s-baked-salmon</t>
  </si>
  <si>
    <t>Clean Eating; GLP-1; Gluten Free; High Protein; Less Than 600 calories; Low Carbs; Low Sodium; Low Sugar; MTM - Cancer; Peanut Free; Soy Free; Wellness</t>
  </si>
  <si>
    <t>Lentil &amp; Spinach Soup</t>
  </si>
  <si>
    <t>diet: High Sodium; diet: Mid Protein; diet: Mid Sugar; diet: Mid Carb; diet: Low Fat; diet: Low Calorie; cuisine: Indian; cuisine: Asian; meal-composition: One-Pot; meal-composition: Soup; protein: Plant-Based Protein; protein: Legumes; day-part: Dinner; day-part: Lunch; hot-or-cold: Eaten Hot; bom: Soup &amp; Stews; merchandising-filters: Great for Lunch; merchandising-filters: PD Support; diet: Mediterranean; diet: Vegan; diet: Plant-Based</t>
  </si>
  <si>
    <t>https://www.cookunity.com/meals/ny-nichols-glp-1-inspired-low-carb-lentil-%26-spinach-soup</t>
  </si>
  <si>
    <t>Dairy Free; Gluten Free; Great for Lunch; Less Than 600 calories; Low Fat; PD Support; Peanut Free; Vegan</t>
  </si>
  <si>
    <t>Lime Flank Steak &amp; Chimichurri Sauce</t>
  </si>
  <si>
    <t>All Meals; Beef; Less than 600 calories; Low carbs; Gluten free; Dairy free; Low sodium; Keto diet</t>
  </si>
  <si>
    <t>diet: Keto; diet: Mid Sugar; diet: Low Sodium; diet: High Protein; diet: High Fat; diet: Low Carb; diet: Low Calorie; diet: No Added Sugar; cuisine: Argentinian; cuisine: Latin American; meal-composition: Protein + Side; meal-composition: Protein + Veggies; protein: Beef; protein: Flank Steak; hot-or-cold: Eaten Hot; day-part: Dinner; bom: Mains with Side; bom: From the Farm; merchandising-filters: Chef Marketing Collections; merchandising-filters: Fitness Fuel; merchandising-filters: Virta Premium Meals</t>
  </si>
  <si>
    <t>https://www.cookunity.com/meals/ny-garcia-coconut-lime-hanger-steak-reboot</t>
  </si>
  <si>
    <t>Chef Marketing Collections; Contains Tree Nut; Dairy Free; Fitness Fuel; Gluten Free; High Protein; Keto Diet; Less Than 600 calories; Low Carbs; Low Sodium; Soy Free; Virta Premium Meals</t>
  </si>
  <si>
    <t>M’s Famous Chicken &amp; Waffles</t>
  </si>
  <si>
    <t>meal-composition: Protein + Side; meal-composition: Protein + Carbs; cuisine: American; cuisine: Southern American; protein: Poultry; protein: Chicken Thigh; diet: High Sugar; diet: High Sodium; diet: High Protein; diet: High Fat; diet: High Carb; diet: High Calorie; bom: From the Farm; bom: Mains with Side; hot-or-cold: Eaten Hot; day-part: Dinner; merchandising-filters: PD Support</t>
  </si>
  <si>
    <t>https://www.cookunity.com/meals/ny-samuelsson-m%E2%80%99s-famous-chicken-%26-waffles%2C-miso-hot-honey</t>
  </si>
  <si>
    <t>High Protein; PD Support; Peanut Free</t>
  </si>
  <si>
    <t>Mama’s Meatballs &amp; Pappardelle</t>
  </si>
  <si>
    <t>Rocco Dispirito</t>
  </si>
  <si>
    <t>diet: High Sugar; diet: High Sodium; diet: High Protein; diet: High Fat; diet: High Carb; diet: High Calorie; cuisine: Italian; cuisine: European; protein: Beef; protein: Ground Beef; hot-or-cold: Eaten Hot; bom: Pizza &amp; Pasta; usage: Freezer Friendly; day-part: Dinner; taste: Spicy; merchandising-filters: Localized Pick; meal-composition: Regular; meal-composition: Pasta</t>
  </si>
  <si>
    <t>https://www.cookunity.com/meals/ny-dispirito-mama%E2%80%99s-meatballs-with-fresh-pappardelle</t>
  </si>
  <si>
    <t>High Protein; Localized Pick; Peanut Free; Spicy</t>
  </si>
  <si>
    <t>Marinated Shrimp Quesadillas</t>
  </si>
  <si>
    <t>diet: Low Sugar; diet: High Sodium; diet: High Protein; diet: High Fat; diet: Mid Carb; diet: Mid Calorie; diet: No Added Sugar; bom: Tortilla; hot-or-cold: Eaten Hot; day-part: Dinner; day-part: Lunch; merchandising-filters: Great for Lunch; diet: Pescatarian; usage: Freezer Friendly; meal-composition: Handheld; meal-composition: Quesadilla; cuisine: Latin American; cuisine: Mexican; protein: Shellfish / Mollusk; protein: Shrimp; season: Summer</t>
  </si>
  <si>
    <t>https://www.cookunity.com/meals/ny-lopez-shrimp-quesadillas-with-pesto-mexican-sauce</t>
  </si>
  <si>
    <t>Great for Lunch; High Protein; Low Sugar; Peanut Free</t>
  </si>
  <si>
    <t>Marry Me Shrimp</t>
  </si>
  <si>
    <t>merchandising-filters: Energy Boost; diet: Mid Sugar; diet: High Sodium; diet: High Protein; diet: High Fat; diet: High Carb; diet: Mid Calorie; diet: No Added Sugar; cuisine: European; diet: Pescatarian; meal-composition: Pasta; meal-composition: Regular; merchandising-labels: 🎬Binging with Babish; cuisine: Italian; protein: Shrimp; protein: Shellfish / Mollusk; day-part: Dinner; bom: Pizza &amp; Pasta; hot-or-cold: Eaten Hot; usage: Fast Heating; taste: Spicy</t>
  </si>
  <si>
    <t>https://www.cookunity.com/meals/ny---marry-me-shrimp</t>
  </si>
  <si>
    <t>Contains Tree Nut; Energy Boost; High Protein; Soy Free; Spicy</t>
  </si>
  <si>
    <t>Marry Me Tuscan Chickpeas</t>
  </si>
  <si>
    <t>diet: Plant-Based; diet: Vegan; diet: Mediterranean; diet: No Added Sugar; merchandising-filters: Wellness; diet: High Carb; diet: Mid Protein; diet: Mid Sugar; diet: Mid Sodium; diet: Mid Fat; diet: Low Calorie; bom: Soup &amp; Stews; hot-or-cold: Eaten Hot; taste: Spicy; cuisine: Italian; cuisine: European; meal-composition: Stew/Chili; meal-composition: One-Pot; protein: Legumes; protein: Plant-Based Protein</t>
  </si>
  <si>
    <t>https://www.cookunity.com/meals/ny-elkousy-creamy-tuscan-%22marry-me!%22-chickpeas</t>
  </si>
  <si>
    <t>Contains Tree Nut; Dairy Free; Less Than 600 calories; Spicy; Vegan; Wellness</t>
  </si>
  <si>
    <t>Martini-Style Chicken</t>
  </si>
  <si>
    <t>diet: Mid Sugar; diet: Mid Sodium; diet: High Protein; diet: High Fat; diet: Low Carb; diet: Mid Calorie; diet: No Added Sugar; bom: Mains with Side; bom: From the Farm; day-part: Dinner; hot-or-cold: Eaten Hot; meal-composition: Protein + Side; meal-composition: Protein + Carbs + Veggies; cuisine: European; cuisine: Italian; protein: Poultry; protein: Chicken Breast; merchandising-filters: PD Support; merchandising-filters: Localized Pick</t>
  </si>
  <si>
    <t>https://www.cookunity.com/meals/ny-luongo-breast-of-chicken-martini-style</t>
  </si>
  <si>
    <t>High Protein; Localized Pick; Low Carbs; PD Support; Tree Nut Free</t>
  </si>
  <si>
    <t>Masala Tilapia &amp; Turmeric Rice</t>
  </si>
  <si>
    <t>All Meals; Seafood; Less than 600 calories; Low sodium</t>
  </si>
  <si>
    <t>day-part: Dinner; bom: Mains with Side; hot-or-cold: Eaten Hot; merchandising-filters: PD Support; taste: Spicy; merchandising-filters: Energy Boost; diet: Low Sugar; diet: Low Sodium; diet: High Protein; diet: High Fat; diet: Mid Carb; diet: Low Calorie; diet: No Added Sugar; cuisine: Indian; cuisine: Asian; usage: Freezer Friendly; diet: Pescatarian; meal-composition: Protein + Side; meal-composition: Protein + Carbs + Veggies; protein: Fish; protein: Tilapia</t>
  </si>
  <si>
    <t>https://www.cookunity.com/meals/ny-sreenivas-masala-baked-tilapia-with-turmeric-rice</t>
  </si>
  <si>
    <t>Energy Boost; High Protein; Less Than 600 calories; Low Sodium; Low Sugar; PD Support; Peanut Free; Spicy</t>
  </si>
  <si>
    <t>Mascarpone and Ricotta Lasagna</t>
  </si>
  <si>
    <t>merchandising-filters: Energy Boost; diet: Mid Sugar; diet: High Sodium; diet: High Protein; diet: High Fat; diet: High Carb; diet: Mid Calorie; cuisine: Italian; cuisine: European; protein: Cheese; protein: Eggs/Dairy; meal-composition: Baked/Gratin; meal-composition: Pasta; merchandising-labels: Low Emissions; hot-or-cold: Eaten Hot; bom: Pizza &amp; Pasta; merchandising-filters: Green Eating; day-part: Dinner; diet: Vegetarian; usage: Freezer Friendly</t>
  </si>
  <si>
    <t>https://www.cookunity.com/meals/ny-mascarpone-ricotta-lasagna</t>
  </si>
  <si>
    <t>Energy Boost; Green Eating; High Protein; Soy Free; Tree Nut Free; Vegetarian</t>
  </si>
  <si>
    <t>Mediterranean Grilled Shrimp Grain Bowl</t>
  </si>
  <si>
    <t>diet: No Added Sugar; merchandising-filters: MTM - Cancer; merchandising-filters: Energy Boost; merchandising-filters: Wellness; diet: High Fat; diet: Mid Sodium; diet: Mid Carb; diet: Mid Calorie; diet: Low Sugar; diet: High Protein; cuisine: Mediterranean; cuisine: European; hot-or-cold: Eaten Cold; hot-or-cold: Eaten Hot; bom: Salads, Bowls &amp; Stir Fries; day-part: Dinner; day-part: Lunch; protein: Shrimp; protein: Shellfish / Mollusk; meal-composition: Grain/Pasta/Carb-Based Bowl; meal-composition: Bowl; merchandising-filters: Great for Lunch; season: Spring; season: Summer; diet: Pescatarian</t>
  </si>
  <si>
    <t>https://www.cookunity.com/meals/ny-ratel-mediterranean-grilled-shrimp-grain-bowl</t>
  </si>
  <si>
    <t>Energy Boost; Great for Lunch; High Protein; Low Sugar; MTM - Cancer; Peanut Free; Wellness</t>
  </si>
  <si>
    <t>Mediterranean Quinoa Bowl with Shrimp</t>
  </si>
  <si>
    <t>All Meals; GLP-1 balanced; Seafood; Less than 600 calories; Low carbs; Gluten free</t>
  </si>
  <si>
    <t>diet: Pescatarian; merchandising-filters: GLP-1; merchandising-filters: Wellness; diet: Mid Sugar; diet: Mid Sodium; diet: High Protein; diet: Mid Fat; diet: Low Carb; diet: Low Calorie; diet: No Added Sugar; cuisine: Greek; cuisine: European; hot-or-cold: Eaten Cold; day-part: Dinner; bom: Salads, Bowls &amp; Stir Fries; protein: Shrimp; protein: Shellfish / Mollusk; meal-composition: Grain/Pasta/Carb-Based Bowl; meal-composition: Bowl</t>
  </si>
  <si>
    <t>https://www.cookunity.com/meals/ny-garcia-mediterranean-quinoa-bowl-shrimp</t>
  </si>
  <si>
    <t>GLP-1; Gluten Free; High Protein; Less Than 600 calories; Low Carbs; Tree Nut Free; Wellness</t>
  </si>
  <si>
    <t>Mediterranean Tilapia &amp; Greek Salad</t>
  </si>
  <si>
    <t>meal-composition: Protein + Side; meal-composition: Protein + Carbs + Veggies; cuisine: European; cuisine: Greek; protein: Fish; protein: Tilapia; hot-or-cold: Eaten Hot; bom: Mains with Side; bom: From the Sea; day-part: Dinner; diet: No Added Sugar; diet: Low Calorie; diet: Mid Carb; diet: Mid Fat; diet: High Protein; diet: High Sodium; diet: Low Sugar; merchandising-filters: Wellness; merchandising-filters: Energy Boost; merchandising-filters: MTM - Cancer; merchandising-filters: Chef Marketing Collections</t>
  </si>
  <si>
    <t>https://www.cookunity.com/meals/ny-garcia-tilapia-greek-salad</t>
  </si>
  <si>
    <t>Chef Marketing Collections; Energy Boost; High Protein; Less Than 600 calories; Low Sugar; MTM - Cancer; Tree Nut Free; Wellness</t>
  </si>
  <si>
    <t>Mediterranean Tilapia Bowl</t>
  </si>
  <si>
    <t>All Meals; GLP-1 balanced; Seafood; Less than 600 calories</t>
  </si>
  <si>
    <t>season: Spring; merchandising-filters: MTM - Cancer; merchandising-filters: GLP-1; merchandising-filters: Energy Boost; merchandising-filters: Wellness; diet: Mid Sugar; diet: Mid Sodium; diet: High Protein; diet: Mid Fat; diet: Mid Carb; diet: Low Calorie; diet: No Added Sugar; cuisine: Mediterranean; cuisine: European; taste: Spicy; bom: Salads, Bowls &amp; Stir Fries; hot-or-cold: Eaten Cold; hot-or-cold: Eaten Hot; day-part: Lunch; day-part: Dinner; diet: Pescatarian; merchandising-filters: Great for Lunch; meal-composition: Bowl; meal-composition: Grain/Pasta/Carb-Based Bowl; protein: Fish; protein: Tilapia</t>
  </si>
  <si>
    <t>https://www.cookunity.com/meals/ny-lopez-mediterranean-tilapia-power-bowl</t>
  </si>
  <si>
    <t>Energy Boost; GLP-1; Great for Lunch; High Protein; Less Than 600 calories; MTM - Cancer; Soy Free; Spicy; Tree Nut Free; Wellness</t>
  </si>
  <si>
    <t>Mexican ‘Cochinita Pibil’ Pork Bowl</t>
  </si>
  <si>
    <t>All Meals; GLP-1 balanced; Beef; Less than 600 calories</t>
  </si>
  <si>
    <t>meal-composition: Bowl; meal-composition: Grain/Pasta/Carb-Based Bowl; cuisine: Latin American; cuisine: Mexican; protein: Pork; protein: Pork Shoulder; merchandising-filters: Great for Lunch; taste: Spicy; merchandising-filters: MTM - Cancer; merchandising-filters: GLP-1; merchandising-filters: Energy Boost; merchandising-filters: Wellness; diet: Mid Sugar; diet: Mid Sodium; diet: High Protein; diet: Mid Fat; diet: Mid Carb; diet: Low Calorie; diet: No Added Sugar; day-part: Dinner; day-part: Lunch; bom: Salads, Bowls &amp; Stir Fries; season: Spring</t>
  </si>
  <si>
    <t>https://www.cookunity.com/meals/ny-garcia-cochinita-pibil-bowl</t>
  </si>
  <si>
    <t>Energy Boost; GLP-1; Great for Lunch; High Protein; Less Than 600 calories; MTM - Cancer; Peanut Free; Spicy; Wellness</t>
  </si>
  <si>
    <t>Mexican Adobo Chicken</t>
  </si>
  <si>
    <t>merchandising-filters: MTM - Post-cancer; merchandising-filters: MTM - Cancer; merchandising-filters: MTM - Diabetes; merchandising-filters: MTM - Heart; merchandising-filters: GLP-1; merchandising-filters: Energy Boost; merchandising-filters: Wellness; diet: Mid Sugar; diet: Mid Sodium; diet: High Protein; diet: Mid Fat; diet: Mid Carb; diet: Low Calorie; diet: No Added Sugar; hot-or-cold: Eaten Hot; diet: Mediterranean; bom: Mains with Side; bom: From the Farm; taste: Spicy; meal-composition: Protein + Side; meal-composition: Protein + Carbs + Veggies; cuisine: Latin American; cuisine: Mexican; protein: Poultry; protein: Chicken Breast</t>
  </si>
  <si>
    <t>https://www.cookunity.com/meals/ny-lopez-mexican-adobo-chicken---mtm</t>
  </si>
  <si>
    <t>Dairy Free; Energy Boost; GLP-1; Gluten Free; High Protein; Less Than 600 calories; MTM - Cancer; MTM - Diabetes; MTM - Heart; MTM - Post-cancer; Peanut Free; Spicy; Wellness</t>
  </si>
  <si>
    <t>Mexican Chicken Bowl</t>
  </si>
  <si>
    <t>All Meals; Poultry; Less than 600 calories; Gluten free; Dairy free</t>
  </si>
  <si>
    <t>merchandising-filters: Energy Boost; diet: Mid Sugar; diet: High Sodium; diet: High Protein; diet: Mid Fat; diet: Mid Carb; diet: Low Calorie; diet: No Added Sugar; cuisine: Mexican; cuisine: Latin American; protein: Chicken Breast; protein: Poultry; meal-composition: Grain/Pasta/Carb-Based Bowl; meal-composition: Bowl; merchandising-filters: Chef Marketing Collections; day-part: Lunch; day-part: Dinner; bom: Salads, Bowls &amp; Stir Fries; hot-or-cold: Eaten Hot</t>
  </si>
  <si>
    <t>https://www.cookunity.com/meals/ny-mexican-chicken-bowl-with-cilantro-rice</t>
  </si>
  <si>
    <t>Chef Marketing Collections; Dairy Free; Energy Boost; Gluten Free; High Protein; Less Than 600 calories; Peanut Free</t>
  </si>
  <si>
    <t>Mexican Chicken Salad</t>
  </si>
  <si>
    <t>Cafe Deux</t>
  </si>
  <si>
    <t>meal-composition: Bowl; meal-composition: Grain/Pasta/Carb-Based Bowl; cuisine: Latin American; cuisine: Mexican; protein: Poultry; protein: Chicken Thigh; day-part: Lunch; day-part: Dinner; season: Spring; bom: Salads, Bowls &amp; Stir Fries; hot-or-cold: Eaten Hot; hot-or-cold: Eaten Cold; usage: Fast Heating; merchandising-filters: Great for Lunch; merchandising-filters: PD Support; taste: Spicy; diet: Mid Sugar; diet: High Sodium; diet: High Protein; diet: High Fat; diet: Low Carb; diet: Mid Calorie</t>
  </si>
  <si>
    <t>https://www.cookunity.com/meals/ny-deux-mexican-chicken-salad</t>
  </si>
  <si>
    <t>Dairy Free; Gluten Free; Great for Lunch; High Protein; Low Carbs; PD Support; Peanut Free; Spicy</t>
  </si>
  <si>
    <t>Mexican Grain Bowl with Spiced Shrimp</t>
  </si>
  <si>
    <t>All Meals; Seafood; Less than 600 calories; Gluten free; Dairy free</t>
  </si>
  <si>
    <t>taste: Spicy; day-part: Dinner; bom: Salads, Bowls &amp; Stir Fries; hot-or-cold: Eaten Hot; merchandising-filters: Great for Lunch; merchandising-filters: Chef Marketing Collections; diet: Low Sugar; diet: High Sodium; diet: Mid Protein; diet: Mid Fat; diet: Mid Carb; diet: Low Calorie; diet: No Added Sugar; meal-composition: Bowl; meal-composition: Grain/Pasta/Carb-Based Bowl; cuisine: Latin American; cuisine: Mexican; protein: Shellfish / Mollusk; protein: Shrimp; diet: Pescatarian</t>
  </si>
  <si>
    <t>https://www.cookunity.com/meals/ny-mendez-mexican-shrimp-bowl</t>
  </si>
  <si>
    <t>Chef Marketing Collections; Dairy Free; Gluten Free; Great for Lunch; Less Than 600 calories; Low Sugar; Peanut Free; Soy Free; Spicy</t>
  </si>
  <si>
    <t>Mexican Tofu Burrito Bowl</t>
  </si>
  <si>
    <t>diet: High Sugar; diet: High Sodium; diet: Mid Protein; diet: Mid Fat; diet: Mid Carb; diet: Low Calorie; cuisine: Mexican; cuisine: Latin American; meal-composition: Bowl; meal-composition: Grain/Pasta/Carb-Based Bowl; protein: Plant-Based Protein; protein: Tofu; merchandising-filters: Localized Pick; merchandising-filters: Great for Lunch; usage: Freezer Friendly; diet: Vegan; diet: Plant-Based; bom: Salads, Bowls &amp; Stir Fries; taste: Spicy; day-part: Dinner; day-part: Lunch; hot-or-cold: Eaten Hot</t>
  </si>
  <si>
    <t>https://www.cookunity.com/meals/ny-agrazal-mexican-tofu-burrito-bowl-with-avocado-sauce</t>
  </si>
  <si>
    <t>Dairy Free; Gluten Free; Great for Lunch; Less Than 600 calories; Localized Pick; Peanut Free; Spicy; Vegan</t>
  </si>
  <si>
    <t>Mexican-Inspired Beef Chili</t>
  </si>
  <si>
    <t>All Meals; Beef; Low carbs; Gluten free</t>
  </si>
  <si>
    <t>diet: High Sugar; diet: High Sodium; diet: High Protein; diet: High Fat; diet: Low Carb; diet: Mid Calorie; cuisine: Tex Mex; cuisine: American; protein: Ground Beef; protein: Beef; meal-composition: One-Pot; meal-composition: Stew/Chili; usage: Freezer Friendly; day-part: Dinner; season: Fall; bom: Soup &amp; Stews; hot-or-cold: Eaten Hot; taste: Spicy</t>
  </si>
  <si>
    <t>https://www.cookunity.com/meals/ny-evans-mexican-inspired-beef-chili</t>
  </si>
  <si>
    <t>Gluten Free; High Protein; Low Carbs; Peanut Free; Spicy</t>
  </si>
  <si>
    <t>Middle Eastern Chicken Shawarma</t>
  </si>
  <si>
    <t>diet: Mid Sugar; diet: High Sodium; diet: High Protein; diet: High Fat; diet: Mid Carb; diet: Mid Calorie; diet: No Added Sugar; cuisine: North African; cuisine: Lebanese; cuisine: African; cuisine: Middle Eastern; usage: Freezer Friendly; day-part: Dinner; hot-or-cold: Eaten Hot; bom: Mains with Side; bom: From the Farm; merchandising-filters: Chef Marketing Collections; meal-composition: Protein + Side; meal-composition: Protein + Carbs + Veggies; protein: Poultry; protein: Chicken Thigh</t>
  </si>
  <si>
    <t>https://www.cookunity.com/meals/ny-chicken-shawarma-einat</t>
  </si>
  <si>
    <t>Chef Marketing Collections; Dairy Free; High Protein; Peanut Free</t>
  </si>
  <si>
    <t>Middle Eastern Mujaddara Bowl</t>
  </si>
  <si>
    <t>All Meals; GLP-1 balanced; Vegan; Less than 600 calories; Dairy free; Low sodium</t>
  </si>
  <si>
    <t>diet: Plant-Based; diet: Vegan; diet: Mediterranean; merchandising-filters: Wellness FLEX; diet: No Added Sugar; merchandising-filters: MTM - Post-cancer; merchandising-filters: MTM - Cancer; merchandising-filters: MTM - Heart; merchandising-filters: MTM - Diabetes; merchandising-filters: GLP-1; merchandising-filters: Wellness; diet: High Sugar; diet: High Fat; diet: Mid Protein; diet: Mid Carb; diet: Low Sodium; diet: Low Calorie; protein: Tofu; protein: Plant-Based Protein; day-part: Dinner; bom: Salads, Bowls &amp; Stir Fries; hot-or-cold: Eaten Hot; cuisine: Middle Eastern; cuisine: Lebanese; meal-composition: Bowl; meal-composition: Grain/Pasta/Carb-Based Bowl</t>
  </si>
  <si>
    <t>https://www.cookunity.com/meals/ny-elkousy-lebanese-mujadara-bowl---updated</t>
  </si>
  <si>
    <t>Contains Tree Nut; Dairy Free; GLP-1; Less Than 600 calories; Low Sodium; MTM - Cancer; MTM - Diabetes; MTM - Heart; MTM - Post-cancer; Vegan; Wellness; Wellness FLEX</t>
  </si>
  <si>
    <t>Mini  Margherita  Pizza</t>
  </si>
  <si>
    <t>diet: Plant-Based; diet: Vegetarian; diet: Mediterranean; diet: High Sodium; diet: High Fat; diet: Mid Protein; diet: Mid Carb; diet: Mid Calorie; diet: Low Sugar; cuisine: Italian; cuisine: European; merchandising-labels: 🧸 Kids Meal; hot-or-cold: Eaten Hot; day-part: Lunch; day-part: Dinner; bom: Kid's Meals; usage: Freezer Friendly; merchandising-filters: Great for Lunch; merchandising-filters: PD Support; merchandising-filters: Family Favorites; protein: Cheese; protein: Eggs/Dairy; meal-composition: Pizza/Flatbread; meal-composition: Baked</t>
  </si>
  <si>
    <t>https://www.cookunity.com/meals/ny-delucie-mini-pizza---margherita</t>
  </si>
  <si>
    <t>Family Favorites; Great for Lunch; Low Sugar; PD Support; Tree Nut Free; Vegetarian</t>
  </si>
  <si>
    <t>Mini Cheesy Potato Burrito</t>
  </si>
  <si>
    <t>meal-composition: Handheld; meal-composition: Burrito; cuisine: Latin American; cuisine: Mexican; protein: Eggs/Dairy; protein: Cheese; bom: Kid's Meals; day-part: Lunch; day-part: Dinner; merchandising-filters: Family Favorites; merchandising-filters: Great for Lunch; hot-or-cold: Eaten Hot; usage: Fast Heating; usage: No Utensils Required; diet: Mid Sugar; diet: High Sodium; diet: High Protein; diet: High Fat; diet: High Carb; diet: Mid Calorie; diet: Vegetarian; diet: Plant-Based; merchandising-labels: 🧸 Kids Meal</t>
  </si>
  <si>
    <t>https://www.cookunity.com/meals/ny-stark-kids-sweet-potato-and-black-bean-burrito</t>
  </si>
  <si>
    <t>Family Favorites; Great for Lunch; High Protein; Peanut Free; Vegetarian</t>
  </si>
  <si>
    <t>Miso Brown Butter Mac &amp; Cheese</t>
  </si>
  <si>
    <t>diet: High Sugar; diet: High Sodium; diet: High Protein; diet: High Fat; diet: High Carb; diet: Mid Calorie; diet: No Added Sugar; cuisine: Japanese; cuisine: American Comfort; cuisine: Asian; cuisine: American; protein: Cheese; protein: Eggs/Dairy; meal-composition: Regular; meal-composition: Pasta; day-part: Dinner; bom: Pizza &amp; Pasta; hot-or-cold: Eaten Hot; usage: Fast Heating; diet: Plant-Based; diet: Vegetarian; merchandising-filters: Localized Pick</t>
  </si>
  <si>
    <t>https://www.cookunity.com/meals/ny-hall-miso-brown-butter-mac-%26-cheese</t>
  </si>
  <si>
    <t>High Protein; Localized Pick; Tree Nut Free; Vegetarian</t>
  </si>
  <si>
    <t>Miso Tofu Forbidden Rice Bowl</t>
  </si>
  <si>
    <t>merchandising-filters: MTM - Cancer; merchandising-filters: Energy Boost; merchandising-filters: Wellness; diet: High Fat; diet: Mid Sugar; diet: Mid Carb; diet: Mid Calorie; diet: Low Sodium; diet: High Protein; taste: Spicy; day-part: Dinner; bom: Salads, Bowls &amp; Stir Fries; hot-or-cold: Eaten Cold; hot-or-cold: Eaten Hot; merchandising-labels: Clean Line; merchandising-filters: Great for Lunch; diet: Vegetarian; diet: Vegan; diet: Plant-Based; protein: Tofu; protein: Plant-Based Protein; cuisine: Japanese; cuisine: Asian; meal-composition: Grain/Pasta/Carb-Based Bowl; meal-composition: Bowl</t>
  </si>
  <si>
    <t>https://www.cookunity.com/meals/ny-peck-forbidden-rice-ginger-tofu</t>
  </si>
  <si>
    <t>Contains Peanut; Dairy Free; Energy Boost; Gluten Free; Great for Lunch; High Protein; Low Sodium; MTM - Cancer; Spicy; Vegan; Vegetarian; Wellness</t>
  </si>
  <si>
    <t>Miso-Style Ramen with Tofu</t>
  </si>
  <si>
    <t>All Meals; Vegetarian; Less than 600 calories; Dairy free</t>
  </si>
  <si>
    <t>diet: High Sodium; diet: Mid Protein; diet: Mid Sugar; diet: Mid Carb; diet: Low Fat; diet: Low Calorie; meal-composition: One-Pot; meal-composition: Noodle Soup; cuisine: Asian; cuisine: Japanese; protein: Plant-Based Protein; protein: Tofu; hot-or-cold: Eaten Hot; bom: Soup &amp; Stews; merchandising-filters: Great for Lunch; diet: Plant-Based; diet: Vegetarian; day-part: Lunch; day-part: Dinner; usage: Freezer Friendly</t>
  </si>
  <si>
    <t>https://www.cookunity.com/meals/ny-choi-miso-style-ramen-with-tofu</t>
  </si>
  <si>
    <t>Dairy Free; Great for Lunch; Less Than 600 calories; Low Fat; Peanut Free; Vegetarian</t>
  </si>
  <si>
    <t>Mission-Style Beef Burrito</t>
  </si>
  <si>
    <t>diet: Mid Sugar; diet: High Sodium; diet: High Protein; diet: High Fat; diet: High Carb; diet: Mid Calorie; day-part: Lunch; day-part: Dinner; bom: Tortilla; hot-or-cold: Eaten Hot; usage: No Utensils Required; merchandising-filters: Chef Marketing Collections; merchandising-filters: Great for Lunch; taste: Spicy; meal-composition: Handheld; meal-composition: Burrito; cuisine: Latin American; cuisine: Mexican; protein: Beef; protein: Ground Beef</t>
  </si>
  <si>
    <t>https://www.cookunity.com/meals/ny-mission-style-beef-burrito</t>
  </si>
  <si>
    <t>Chef Marketing Collections; Great for Lunch; High Protein; Peanut Free; Spicy</t>
  </si>
  <si>
    <t>Mission-Style Carnitas Burrito</t>
  </si>
  <si>
    <t>day-part: Lunch; day-part: Dinner; bom: Tortilla; hot-or-cold: Eaten Hot; usage: No Utensils Required; merchandising-filters: Chef Marketing Collections; merchandising-filters: Great for Lunch; taste: Spicy; diet: High Calorie; diet: High Carb; diet: High Fat; diet: High Protein; diet: High Sodium; diet: Mid Sugar; diet: No Added Sugar; meal-composition: Handheld; meal-composition: Burrito; cuisine: Latin American; cuisine: Mexican; protein: Pork; protein: Pork Shoulder</t>
  </si>
  <si>
    <t>https://www.cookunity.com/meals/ny-mission-style-carnitas-burrito</t>
  </si>
  <si>
    <t>Mission-Style Chicken Burrito</t>
  </si>
  <si>
    <t>day-part: Lunch; day-part: Dinner; bom: Tortilla; hot-or-cold: Eaten Hot; usage: No Utensils Required; merchandising-filters: Great for Lunch; taste: Spicy; diet: Mid Sugar; diet: High Sodium; diet: High Protein; diet: High Fat; diet: High Carb; diet: Mid Calorie; cuisine: Mexican; cuisine: Latin American; protein: Chicken Thigh; protein: Poultry; meal-composition: Burrito; meal-composition: Handheld</t>
  </si>
  <si>
    <t>https://www.cookunity.com/meals/ny-mission-style-chipotle</t>
  </si>
  <si>
    <t>Great for Lunch; High Protein; Peanut Free; Spicy</t>
  </si>
  <si>
    <t>Mission-Style Vegetable Burrito</t>
  </si>
  <si>
    <t>diet: High Sugar; diet: High Sodium; diet: Mid Protein; diet: High Fat; diet: High Carb; diet: Mid Calorie; day-part: Dinner; day-part: Lunch; hot-or-cold: Eaten Hot; bom: Tortilla; taste: Spicy; diet: Plant-Based; diet: Vegetarian; merchandising-filters: Chef Marketing Collections; merchandising-filters: Great for Lunch; meal-composition: Handheld; meal-composition: Burrito; cuisine: Latin American; cuisine: Mexican; protein: Plant-Based Protein; protein: Tofu</t>
  </si>
  <si>
    <t>https://www.cookunity.com/meals/ny-mission-style-vegie-burrito</t>
  </si>
  <si>
    <t>Chef Marketing Collections; Great for Lunch; Peanut Free; Spicy; Vegetarian</t>
  </si>
  <si>
    <t>Mixed Veggie Yaki Udon</t>
  </si>
  <si>
    <t>All Meals; Less than 600 calories; Dairy free</t>
  </si>
  <si>
    <t>diet: High Sugar; diet: High Sodium; diet: Low Protein; diet: High Fat; diet: Mid Carb; diet: Low Calorie; meal-composition: Sauteed; meal-composition: Noodle-Based Stir Fry; cuisine: Asian; cuisine: Japanese; protein: Fable; protein: Plant-Based Protein; day-part: Dinner; bom: Salads, Bowls &amp; Stir Fries; hot-or-cold: Eaten Hot; usage: Fast Heating; taste: Spicy</t>
  </si>
  <si>
    <t>https://www.cookunity.com/meals/ny-tominaga--yaki-udon-and-mixed-veggies</t>
  </si>
  <si>
    <t>Dairy Free; Less Than 600 calories; Spicy; Tree Nut Free</t>
  </si>
  <si>
    <t>Mojo Pork</t>
  </si>
  <si>
    <t>diet: No Added Sugar; diet: High Sodium; diet: High Fat; diet: Mid Carb; diet: Mid Calorie; diet: Low Sugar; diet: High Protein; day-part: Dinner; bom: Mains with Side; hot-or-cold: Eaten Hot; usage: Fast Heating; merchandising-filters: Localized Pick; taste: Spicy; cuisine: Cuban; cuisine: Caribbean; meal-composition: Protein + Carbs + Veggies; meal-composition: Protein + Side; protein: Pork Shoulder; protein: Pork</t>
  </si>
  <si>
    <t>https://www.cookunity.com/meals/ny-cuban-mojo-pork</t>
  </si>
  <si>
    <t>Dairy Free; Gluten Free; High Protein; Localized Pick; Low Sugar; Peanut Free; Spicy</t>
  </si>
  <si>
    <t>Mole Chicken Enchiladas</t>
  </si>
  <si>
    <t>meal-composition: Baked; meal-composition: Enchiladas; cuisine: Latin American; cuisine: Mexican; protein: Poultry; protein: Chicken Thigh; usage: Freezer Friendly; merchandising-filters: Energy Boost; diet: Mid Sugar; diet: High Sodium; diet: High Protein; diet: High Fat; diet: Mid Carb; diet: Mid Calorie; diet: No Added Sugar; day-part: Dinner; bom: Tortilla; hot-or-cold: Eaten Hot</t>
  </si>
  <si>
    <t>https://www.cookunity.com/meals/ny-lopez-chicken-mole-enchiladas---reboot</t>
  </si>
  <si>
    <t>Contains Peanut; Energy Boost; Gluten Free; High Protein</t>
  </si>
  <si>
    <t>Mom's Sunday Sauce Rigatoni</t>
  </si>
  <si>
    <t>merchandising-filters: Energy Boost; diet: High Sodium; diet: High Fat; diet: Mid Sugar; diet: Mid Carb; diet: Mid Calorie; diet: High Protein; protein: Ground Beef; protein: Beef; cuisine: Italian; cuisine: European; meal-composition: Regular; meal-composition: Pasta; usage: Freezer Friendly; bom: Pizza &amp; Pasta; day-part: Dinner; hot-or-cold: Eaten Hot</t>
  </si>
  <si>
    <t>https://www.cookunity.com/meals/ny-rigatoni-sunday-sauce</t>
  </si>
  <si>
    <t>Energy Boost; High Protein; Peanut Free; Soy Free</t>
  </si>
  <si>
    <t>Moroccan Chickpea &amp; Lentil Stew</t>
  </si>
  <si>
    <t>merchandising-filters: Wellness; diet: High Sugar; diet: Mid Protein; diet: Mid Sodium; diet: Mid Fat; diet: Mid Carb; diet: Low Calorie; diet: Plant-Based; diet: Vegan; diet: Vegetarian; meal-composition: One-Pot; meal-composition: Stew/Chili; cuisine: African; cuisine: Moroccan; protein: Plant-Based Protein; protein: Legumes; merchandising-labels: Clean Line; bom: Soup &amp; Stews; day-part: Dinner; hot-or-cold: Eaten Hot; merchandising-filters: Clean Eating; merchandising-filters: Green Eating; season: Fall; season: Winter</t>
  </si>
  <si>
    <t>https://www.cookunity.com/meals/ny-peck-moroccan-chickpea-%26-lentil-stew</t>
  </si>
  <si>
    <t>Clean Eating; Dairy Free; Gluten Free; Green Eating; Less Than 600 calories; Peanut Free; Vegan; Vegetarian; Wellness</t>
  </si>
  <si>
    <t>Mozzarella Pearls &amp; Tomato Pasta</t>
  </si>
  <si>
    <t>diet: Plant-Based; diet: Vegetarian; diet: Mediterranean; diet: No Added Sugar; diet: High Fat; diet: Mid Protein; diet: Mid Sugar; diet: Mid Carb; diet: Mid Calorie; diet: Low Sodium; cuisine: Italian; cuisine: European; protein: Cheese; protein: Eggs/Dairy; meal-composition: Regular; meal-composition: Pasta; day-part: Dinner; hot-or-cold: Eaten Hot; bom: Pizza &amp; Pasta</t>
  </si>
  <si>
    <t>https://www.cookunity.com/meals/ny-bengochea-baked-cherry-tomatoes-%26-burrata-cavatappi</t>
  </si>
  <si>
    <t>Low Sodium; Peanut Free; Soy Free; Vegetarian</t>
  </si>
  <si>
    <t>Mushroom &amp; Swiss Beef Burger</t>
  </si>
  <si>
    <t>diet: High Sugar; diet: High Sodium; diet: High Protein; diet: High Fat; diet: Mid Carb; diet: Mid Calorie; day-part: Lunch; day-part: Dinner; merchandising-filters: Great for Lunch; bom: From the Farm; bom: Mains with Side; hot-or-cold: Eaten Hot; meal-composition: Handheld; meal-composition: Burger; cuisine: American; cuisine: American Comfort; protein: Beef; protein: Ground Beef; taste: Spicy</t>
  </si>
  <si>
    <t>https://www.cookunity.com/meals/ny-garcia-mushroom-%26-swiss-beef-burger</t>
  </si>
  <si>
    <t>Mushroom al Ajillo Rice Bowl</t>
  </si>
  <si>
    <t>merchandising-filters: Wellness; diet: Mid Sugar; diet: Mid Sodium; diet: Mid Protein; diet: Mid Fat; diet: Mid Carb; diet: Low Calorie; diet: No Added Sugar; cuisine: Mexican; cuisine: Latin American; hot-or-cold: Eaten Hot; bom: Salads, Bowls &amp; Stir Fries; day-part: Dinner; taste: Spicy; diet: Vegetarian; diet: Plant-Based; protein: Fable; protein: Plant-Based Protein; meal-composition: Grain/Pasta/Carb-Based Bowl; meal-composition: Bowl</t>
  </si>
  <si>
    <t>https://www.cookunity.com/meals/ny-steele-mushroom-al-ajillo-rice-bowl</t>
  </si>
  <si>
    <t>Gluten Free; Less Than 600 calories; Peanut Free; Spicy; Vegetarian; Wellness</t>
  </si>
  <si>
    <t>Napolitana Chicken Milanese</t>
  </si>
  <si>
    <t>merchandising-filters: MTM - Cancer; merchandising-filters: Energy Boost; merchandising-filters: Wellness; diet: Low Sugar; diet: Mid Sodium; diet: High Protein; diet: High Fat; diet: Mid Carb; diet: Mid Calorie; diet: No Added Sugar; protein: Poultry; protein: Chicken Breast; bom: Mains with Side; bom: From the Farm; day-part: Dinner; hot-or-cold: Eaten Hot; cuisine: Latin American; cuisine: Argentinian; meal-composition: Protein + Carbs + Veggies; meal-composition: Protein + Side</t>
  </si>
  <si>
    <t>https://www.cookunity.com/meals/ny-bengochea-napolitana-chicken-breast-milanese</t>
  </si>
  <si>
    <t>Energy Boost; High Protein; Low Sugar; MTM - Cancer; Soy Free; Tree Nut Free; Wellness</t>
  </si>
  <si>
    <t>North African Harissa Chicken</t>
  </si>
  <si>
    <t>day-part: Dinner; bom: Mains with Side; hot-or-cold: Eaten Hot; taste: Spicy; merchandising-filters: Wellness FLEX; merchandising-filters: MTM - Post-cancer; merchandising-filters: MTM - Cancer; merchandising-filters: MTM - Diabetes; merchandising-filters: MTM - Heart; merchandising-filters: GLP-1; merchandising-filters: Energy Boost; merchandising-filters: Wellness; diet: High Sugar; diet: Low Sodium; diet: High Protein; diet: Mid Fat; diet: Mid Carb; diet: Low Calorie; diet: No Added Sugar; cuisine: North African; cuisine: African; protein: Chicken Breast; protein: Poultry; meal-composition: Protein + Carbs + Veggies; meal-composition: Protein + Side</t>
  </si>
  <si>
    <t>https://www.cookunity.com/meals/ny-admony-north-african-harissa-chicken</t>
  </si>
  <si>
    <t>Dairy Free; Energy Boost; GLP-1; High Protein; Less Than 600 calories; Low Sodium; MTM - Cancer; MTM - Diabetes; MTM - Heart; MTM - Post-cancer; Peanut Free; Soy Free; Spicy; Wellness; Wellness FLEX</t>
  </si>
  <si>
    <t>Opa's Coconut Cream Soup</t>
  </si>
  <si>
    <t>diet: Pescatarian; diet: Mediterranean; diet: Keto; diet: Mid Sugar; diet: High Sodium; diet: Mid Protein; diet: High Fat; diet: Low Carb; diet: Low Calorie; cuisine: Thai; cuisine: Asian; meal-composition: One-Pot; meal-composition: Soup; protein: Shellfish / Mollusk; protein: Shrimp; day-part: Dinner; bom: Soup &amp; Stews; hot-or-cold: Eaten Hot; usage: Fast Heating; merchandising-filters: Great for Lunch; merchandising-filters: Localized Pick</t>
  </si>
  <si>
    <t>https://www.cookunity.com/meals/ny-by-miriam-milord-opa&amp;#x27;s-coconut-cream-soup-with-shrimp-%26-vegetables</t>
  </si>
  <si>
    <t>Dairy Free; Gluten Free; Great for Lunch; Keto Diet; Less Than 600 calories; Localized Pick; Low Carbs; Peanut Free</t>
  </si>
  <si>
    <t>P'Kaila (Braised Spinach and White Beans) with Couscous</t>
  </si>
  <si>
    <t>diet: No Added Sugar; diet: High Sodium; diet: High Fat; diet: High Carb; diet: Mid Protein; diet: Mid Sugar; diet: Mid Calorie; day-part: Dinner; bom: Mains with Side; hot-or-cold: Eaten Hot; usage: Fast Heating; taste: Spicy; meal-composition: Protein + Side; meal-composition: Protein + Carbs + Veggies; cuisine: Middle Eastern; cuisine: Israeli; protein: Plant-Based Protein; protein: Legumes; diet: Plant-Based; diet: Vegan; diet: Mediterranean</t>
  </si>
  <si>
    <t>https://www.cookunity.com/meals/ny-solomonov-spinach-p&amp;#x27;kaila</t>
  </si>
  <si>
    <t>Dairy Free; Peanut Free; Soy Free; Spicy; Vegan</t>
  </si>
  <si>
    <t>Pan-Seared Cajun Salmon</t>
  </si>
  <si>
    <t>merchandising-filters: MTM - Cancer; diet: Keto; merchandising-filters: Wellness; diet: Mid Sugar; diet: Mid Sodium; diet: High Protein; diet: High Fat; diet: Low Carb; diet: Low Calorie; diet: No Added Sugar; hot-or-cold: Eaten Hot; bom: Mains with Side; bom: From the Sea; day-part: Dinner; diet: Pescatarian; meal-composition: Protein + Side; meal-composition: Protein + Veggies; cuisine: American; cuisine: Cajun/Creole; protein: Fish; protein: Salmon; merchandising-filters: Virta Premium Meals</t>
  </si>
  <si>
    <t>https://www.cookunity.com/meals/paleo-pan-seared-cajun-salmon</t>
  </si>
  <si>
    <t>Dairy Free; Gluten Free; High Protein; Keto Diet; Less Than 600 calories; Low Carbs; MTM - Cancer; Soy Free; Tree Nut Free; Virta Premium Meals; Wellness</t>
  </si>
  <si>
    <t>Panko-Crusted Salmon</t>
  </si>
  <si>
    <t>diet: No Added Sugar; diet: High Sodium; diet: High Fat; diet: High Calorie; diet: Mid Sugar; diet: Mid Carb; diet: High Protein; protein: Salmon; protein: Fish; cuisine: Modern American; cuisine: American; meal-composition: Protein + Carbs + Veggies; meal-composition: Protein + Side; hot-or-cold: Eaten Hot; day-part: Dinner; diet: Pescatarian; bom: Chef Specials (Extra Fee)</t>
  </si>
  <si>
    <t>https://www.cookunity.com/meals/ny-panko-crusted-salmon</t>
  </si>
  <si>
    <t>Pappardelle with Beef Ragù</t>
  </si>
  <si>
    <t>meal-composition: Pasta; meal-composition: Regular; cuisine: European; cuisine: Italian; protein: Beef; protein: Ground Beef; diet: High Sugar; diet: High Sodium; diet: High Protein; diet: High Fat; diet: High Carb; diet: Mid Calorie; diet: No Added Sugar; usage: Freezer Friendly; taste: Spicy; day-part: Dinner; bom: Pizza &amp; Pasta; hot-or-cold: Eaten Hot</t>
  </si>
  <si>
    <t>https://www.cookunity.com/meals/ny-flores-pappardelle-beef-ragu</t>
  </si>
  <si>
    <t>High Protein; Soy Free; Spicy; Tree Nut Free</t>
  </si>
  <si>
    <t>Parisian Cabbage Pie</t>
  </si>
  <si>
    <t>merchandising-filters: Energy Boost; diet: High Sodium; diet: High Fat; diet: Mid Protein; diet: Mid Sugar; diet: Mid Carb; diet: Mid Calorie; protein: Ground Pork; protein: Pork; bom: Mains with Side; bom: From the Farm; hot-or-cold: Eaten Hot; day-part: Dinner; merchandising-filters: PD Support; cuisine: French; cuisine: European; meal-composition: Pie/Pot Pie; meal-composition: Baked; usage: Freezer Friendly</t>
  </si>
  <si>
    <t>https://www.cookunity.com/meals/ny-nichols-parisian-stuffed-cabbage</t>
  </si>
  <si>
    <t>Energy Boost; PD Support; Peanut Free</t>
  </si>
  <si>
    <t>Pasta Genovese with Braised Beef</t>
  </si>
  <si>
    <t>diet: No Added Sugar; diet: High Sodium; diet: High Carb; diet: Mid Sugar; diet: Mid Fat; diet: Mid Calorie; diet: High Protein; protein: Beef Chuck; protein: Beef; meal-composition: Regular; meal-composition: Pasta; cuisine: European; cuisine: Italian; merchandising-filters: Localized Pick; usage: Fast Heating; hot-or-cold: Eaten Hot; bom: Pizza &amp; Pasta; day-part: Dinner</t>
  </si>
  <si>
    <t>https://www.cookunity.com/meals/ny-deux-pasta-genovese</t>
  </si>
  <si>
    <t>High Protein; Localized Pick; Soy Free; Tree Nut Free</t>
  </si>
  <si>
    <t>Pastelitos de Picadillo</t>
  </si>
  <si>
    <t>diet: No Added Sugar; diet: High Sugar; diet: High Sodium; diet: High Fat; diet: Mid Carb; diet: Mid Calorie; diet: High Protein; meal-composition: Empanada; meal-composition: Handheld; protein: Ground Beef; protein: Beef; cuisine: Caribbean; cuisine: Puerto Rican; taste: Spicy; merchandising-filters: Great for Lunch; usage: No Utensils Required; hot-or-cold: Eaten Hot; bom: Snacks &amp; Appetizers; season: Spring; day-part: Dinner; day-part: Lunch</t>
  </si>
  <si>
    <t>https://www.cookunity.com/meals/ny-nichols-pastelitos-de-picadillo</t>
  </si>
  <si>
    <t>Dairy Free; Great for Lunch; High Protein; Peanut Free; Spicy</t>
  </si>
  <si>
    <t>Pat's Grilled Chicken Thighs</t>
  </si>
  <si>
    <t>All Meals; Poultry; Low carbs; Gluten free; Keto diet</t>
  </si>
  <si>
    <t>diet: Keto; diet: Mid Sugar; diet: High Sodium; diet: High Protein; diet: High Fat; diet: Low Carb; diet: High Calorie; cuisine: Italian; cuisine: European; usage: Freezer Friendly; hot-or-cold: Eaten Hot; day-part: Dinner; season: Summer; bom: Mains with Side; bom: From the Farm; meal-composition: Protein + Side; meal-composition: Protein + Veggies; protein: Poultry; protein: Chicken Thigh</t>
  </si>
  <si>
    <t>https://www.cookunity.com/meals/ny-pats-chicken-thigh</t>
  </si>
  <si>
    <t>Gluten Free; High Protein; Keto Diet; Low Carbs; Peanut Free</t>
  </si>
  <si>
    <t>Penne and Beef Albóndigas</t>
  </si>
  <si>
    <t>meal-composition: Pasta; meal-composition: Regular; cuisine: Latin American; cuisine: Mexican; protein: Beef; protein: Ground Beef; merchandising-filters: Energy Boost; diet: Mid Sugar; diet: High Sodium; diet: High Protein; diet: High Fat; diet: High Carb; diet: Mid Calorie; diet: No Added Sugar; hot-or-cold: Eaten Hot; bom: Pizza &amp; Pasta; taste: Spicy</t>
  </si>
  <si>
    <t>https://www.cookunity.com/meals/ny-donnelly-beef-alb%C3%B3ndigas-with-chipotle-cream-pasta</t>
  </si>
  <si>
    <t>Energy Boost; High Protein; Peanut Free; Spicy</t>
  </si>
  <si>
    <t>Penne with Spicy Pink Sauce</t>
  </si>
  <si>
    <t>meal-composition: Pasta; meal-composition: Regular; cuisine: European; cuisine: Italian; protein: Eggs/Dairy; protein: Cheese; diet: High Sugar; diet: High Sodium; diet: Mid Protein; diet: High Fat; diet: High Carb; diet: Mid Calorie; merchandising-labels: Low Emissions; diet: Plant-Based; diet: Vegetarian; day-part: Dinner; bom: Pizza &amp; Pasta; hot-or-cold: Eaten Hot; usage: Fast Heating; taste: Spicy</t>
  </si>
  <si>
    <t>https://www.cookunity.com/meals/ny-delucie-penne-with-spicy-pink-sauce</t>
  </si>
  <si>
    <t>Peanut Free; Soy Free; Spicy; Vegetarian</t>
  </si>
  <si>
    <t>Pepperoni Naan Pizza</t>
  </si>
  <si>
    <t>merchandising-filters: Energy Boost; diet: High Sugar; diet: High Sodium; diet: High Fat; diet: High Carb; diet: Mid Calorie; diet: High Protein; meal-composition: Baked; meal-composition: Pizza/Flatbread; usage: Freezer Friendly; protein: Pork; protein: Pork Sausage; cuisine: American; cuisine: Modern American; day-part: Dinner; bom: Pizza &amp; Pasta; hot-or-cold: Eaten Hot; merchandising-filters: Chef Marketing Collections; merchandising-filters: Great for Lunch; taste: Spicy</t>
  </si>
  <si>
    <t>https://www.cookunity.com/meals/ny-delucie-pepperoni-naan-pizza</t>
  </si>
  <si>
    <t>Chef Marketing Collections; Energy Boost; Great for Lunch; High Protein; Peanut Free; Spicy</t>
  </si>
  <si>
    <t>Pesto Chicken Breast</t>
  </si>
  <si>
    <t>All Meals; Poultry; Low carbs; Gluten free</t>
  </si>
  <si>
    <t>meal-composition: Protein + Side; meal-composition: Protein + Carbs + Veggies; cuisine: European; cuisine: Italian; protein: Poultry; protein: Chicken Breast; hot-or-cold: Eaten Hot; day-part: Dinner; bom: From the Farm; bom: Mains with Side; diet: Mid Calorie; diet: Low Carb; diet: High Fat; diet: High Protein; diet: High Sodium; diet: Low Sugar; diet: No Added Sugar; merchandising-filters: Chef Marketing Collections; season: Summer</t>
  </si>
  <si>
    <t>https://www.cookunity.com/meals/ny-garcia-pesto-chicken-breast-reboot</t>
  </si>
  <si>
    <t>Chef Marketing Collections; Gluten Free; High Protein; Low Carbs; Low Sugar; Peanut Free; Soy Free</t>
  </si>
  <si>
    <t>Philly Cheesesteak Crunchwrap</t>
  </si>
  <si>
    <t>meal-composition: Handheld; meal-composition: Wrap; cuisine: American; cuisine: Modern American; protein: Beef; protein: Rib Eye; diet: Mid Sugar; diet: High Sodium; diet: High Protein; diet: High Fat; diet: Mid Carb; diet: High Calorie; hot-or-cold: Eaten Hot; day-part: Lunch; day-part: Dinner; bom: Sandwiches, Wraps &amp; Burgers; merchandising-filters: Great for Lunch; merchandising-filters: PD Support; merchandising-filters: Localized Pick</t>
  </si>
  <si>
    <t>https://www.cookunity.com/meals/ny-dieterle-philly-cheese-steak-crunchwrap</t>
  </si>
  <si>
    <t>Great for Lunch; High Protein; Localized Pick; PD Support; Peanut Free</t>
  </si>
  <si>
    <t>Pimenton-Roasted Salmon</t>
  </si>
  <si>
    <t>merchandising-filters: Energy Boost; diet: High Sugar; diet: High Sodium; diet: High Fat; diet: Mid Carb; diet: Mid Calorie; diet: High Protein; protein: Salmon; protein: Fish; meal-composition: Protein + Carbs + Veggies; meal-composition: Protein + Side; taste: Spicy; usage: Fast Heating; hot-or-cold: Eaten Hot; bom: Mains with Side; day-part: Dinner; diet: Pescatarian; merchandising-filters: Localized Pick; cuisine: European; cuisine: American; cuisine: Spanish; cuisine: Modern American</t>
  </si>
  <si>
    <t>https://www.cookunity.com/meals/ny-hall-pimenton-roasted-salmon</t>
  </si>
  <si>
    <t>Dairy Free; Energy Boost; High Protein; Localized Pick; Spicy; Tree Nut Free</t>
  </si>
  <si>
    <t>Pino's Classic Eggplant Parmigiana</t>
  </si>
  <si>
    <t>All Meals; Vegetarian; Low carbs</t>
  </si>
  <si>
    <t>hot-or-cold: Eaten Hot; bom: From the Earth; bom: Mains with Side; day-part: Dinner; diet: Vegetarian; diet: Plant-Based; diet: Mid Calorie; diet: Low Carb; diet: High Fat; diet: High Protein; diet: High Sodium; diet: Mid Sugar; diet: No Added Sugar; usage: Freezer Friendly; meal-composition: Protein + Side; meal-composition: Protein + Veggies; cuisine: European; cuisine: Italian; protein: Eggs/Dairy; protein: Cheese; season: Summer; merchandising-filters: PD Support; merchandising-filters: Localized Pick</t>
  </si>
  <si>
    <t>https://www.cookunity.com/meals/ny-luongo-eggplant-parmigiana</t>
  </si>
  <si>
    <t>High Protein; Localized Pick; Low Carbs; PD Support; Peanut Free; Soy Free; Vegetarian</t>
  </si>
  <si>
    <t>Pipian Verde Cod</t>
  </si>
  <si>
    <t>day-part: Dinner; bom: Mains with Side; usage: Fast Heating; hot-or-cold: Eaten Hot; diet: Pescatarian; merchandising-filters: Wellness FLEX; merchandising-filters: MTM - Post-cancer; merchandising-filters: MTM - Cancer; merchandising-filters: MTM - Diabetes; merchandising-filters: MTM - Heart; merchandising-filters: GLP-1; merchandising-filters: Energy Boost; merchandising-filters: Wellness; diet: Mid Sugar; diet: Low Sodium; diet: High Protein; diet: Mid Fat; diet: Mid Carb; diet: Low Calorie; diet: No Added Sugar; meal-composition: Protein + Side; meal-composition: Protein + Carbs + Veggies; cuisine: Latin American; cuisine: Mexican; protein: Fish; protein: Cod</t>
  </si>
  <si>
    <t>https://www.cookunity.com/meals/ny-agrazal-pipian-verde-cod</t>
  </si>
  <si>
    <t>Dairy Free; Energy Boost; GLP-1; Gluten Free; High Protein; Less Than 600 calories; Low Sodium; MTM - Cancer; MTM - Diabetes; MTM - Heart; MTM - Post-cancer; Peanut Free; Wellness; Wellness FLEX</t>
  </si>
  <si>
    <t>Plant-Based 'Chorizo' Chili Mac &amp; Cheese</t>
  </si>
  <si>
    <t>meal-composition: Pasta; meal-composition: Regular; cuisine: American; cuisine: American Comfort; protein: Plant-Based Protein; protein: Mock Meat; diet: Plant-Based; diet: Vegan; diet: Vegetarian; diet: Mid Sugar; diet: High Sodium; diet: Mid Protein; diet: Mid Fat; diet: High Carb; diet: Mid Calorie; diet: No Added Sugar; usage: Freezer Friendly; merchandising-filters: Chef Marketing Collections; bom: Pizza &amp; Pasta; day-part: Dinner; hot-or-cold: Eaten Hot</t>
  </si>
  <si>
    <t>https://www.cookunity.com/meals/ny-stark-vegan-mac-n-cheese</t>
  </si>
  <si>
    <t>Chef Marketing Collections; Dairy Free; Peanut Free; Vegan; Vegetarian</t>
  </si>
  <si>
    <t>Plant-Based 'Chorizo' Chili Quesadilla</t>
  </si>
  <si>
    <t>meal-composition: Handheld; meal-composition: Quesadilla; cuisine: Latin American; cuisine: Mexican; protein: Plant-Based Protein; protein: Mock Meat; hot-or-cold: Eaten Hot; merchandising-filters: Great for Lunch; bom: Tortilla; day-part: Lunch; day-part: Dinner; diet: Low Calorie; diet: Mid Carb; diet: Mid Fat; diet: Mid Protein; diet: High Sodium; diet: Mid Sugar; diet: No Added Sugar; usage: Freezer Friendly; diet: Plant-Based; diet: Vegan; diet: Vegetarian</t>
  </si>
  <si>
    <t>https://www.cookunity.com/meals/ny-stark-vegan-quesadilla</t>
  </si>
  <si>
    <t>Dairy Free; Gluten Free; Great for Lunch; Less Than 600 calories; Peanut Free; Vegan; Vegetarian</t>
  </si>
  <si>
    <t>Poached Wild-Caught Salmon</t>
  </si>
  <si>
    <t>merchandising-filters: GLP-1; merchandising-filters: Wellness; diet: High Sugar; diet: Mid Sodium; diet: High Protein; diet: Mid Fat; diet: Low Carb; diet: Low Calorie; cuisine: Modern American; cuisine: American; merchandising-filters: Clean Eating; merchandising-filters: PD Support; merchandising-filters: Great for Lunch; meal-composition: Protein + Side; meal-composition: Protein + Veggies; protein: Fish; protein: Salmon; day-part: Dinner; day-part: Lunch; merchandising-labels: Clean Line; hot-or-cold: Eaten Hot; bom: Chef Specials (Extra Fee); diet: Pescatarian</t>
  </si>
  <si>
    <t>https://www.cookunity.com/meals/ny-garcia-salmon--en--papillote--(poached-wild-cought-salmon)</t>
  </si>
  <si>
    <t>Clean Eating; GLP-1; Gluten Free; Great for Lunch; High Protein; Less Than 600 calories; Low Carbs; PD Support; Peanut Free; Soy Free; Wellness</t>
  </si>
  <si>
    <t>Pollo Asado with Pepita Squash</t>
  </si>
  <si>
    <t>All Meals; GLP-1 balanced; Poultry; Less than 600 calories; Low sodium</t>
  </si>
  <si>
    <t>merchandising-filters: Wellness FLEX; merchandising-filters: MTM - Post-cancer; merchandising-filters: MTM - Cancer; merchandising-filters: MTM - Diabetes; merchandising-filters: MTM - Heart; merchandising-filters: GLP-1; merchandising-filters: Energy Boost; merchandising-filters: Wellness; diet: Low Sugar; diet: Low Sodium; diet: High Protein; diet: Mid Fat; diet: Mid Carb; diet: Low Calorie; diet: No Added Sugar; cuisine: Mexican; cuisine: Latin American; bom: Mains with Side; hot-or-cold: Eaten Hot; day-part: Dinner; meal-composition: Protein + Side; meal-composition: Protein + Carbs + Veggies; protein: Poultry; protein: Chicken Breast; diet: Mediterranean</t>
  </si>
  <si>
    <t>https://www.cookunity.com/meals/ny-sreenivas-pollo-asado-with-pepita-squash-and-quinoa</t>
  </si>
  <si>
    <t>Energy Boost; GLP-1; High Protein; Less Than 600 calories; Low Sodium; Low Sugar; MTM - Cancer; MTM - Diabetes; MTM - Heart; MTM - Post-cancer; Tree Nut Free; Wellness; Wellness FLEX</t>
  </si>
  <si>
    <t>Pomegranate &amp; Oregano Roasted Chicken</t>
  </si>
  <si>
    <t>season: Winter; diet: Mid Sugar; diet: High Sodium; diet: High Protein; diet: Mid Fat; diet: Low Carb; diet: Low Calorie; cuisine: Lebanese; cuisine: Middle Eastern; day-part: Dinner; bom: From the Farm; bom: Mains with Side; hot-or-cold: Eaten Hot; protein: Chicken Breast; protein: Poultry; meal-composition: Protein + Carbs + Veggies; meal-composition: Protein + Side</t>
  </si>
  <si>
    <t>https://www.cookunity.com/meals/ny-nawab-pomegranate-%26-oregano-roasted-chicken</t>
  </si>
  <si>
    <t>Gluten Free; High Protein; Less Than 600 calories; Low Carbs; Soy Free; Tree Nut Free</t>
  </si>
  <si>
    <t>Pomodoro Rotelle with Fresh Mozzarella</t>
  </si>
  <si>
    <t>merchandising-filters: Wellness; diet: Mid Sugar; diet: High Sodium; diet: Mid Protein; diet: Mid Fat; diet: High Carb; diet: Low Calorie; cuisine: Italian; cuisine: European; usage: Freezer Friendly; hot-or-cold: Eaten Hot; bom: Pizza &amp; Pasta; diet: Vegetarian; day-part: Dinner; protein: Cheese; protein: Eggs/Dairy; meal-composition: Regular; meal-composition: Pasta</t>
  </si>
  <si>
    <t>https://www.cookunity.com/meals/ny-forgione-rotelle-pomodoro-burrata</t>
  </si>
  <si>
    <t>Less Than 600 calories; Peanut Free; Soy Free; Vegetarian; Wellness</t>
  </si>
  <si>
    <t>Pork Al Pastor Tacos</t>
  </si>
  <si>
    <t>merchandising-filters: MTM - Cancer; merchandising-filters: Energy Boost; merchandising-filters: Wellness; diet: Mid Sugar; diet: Mid Sodium; diet: High Protein; diet: High Fat; diet: Mid Carb; diet: Mid Calorie; diet: No Added Sugar; bom: Tortilla; day-part: Dinner; hot-or-cold: Eaten Hot; merchandising-filters: Great for Lunch; meal-composition: Handheld; meal-composition: Taco; cuisine: Latin American; cuisine: Mexican; protein: Pork; protein: Pork Shoulder</t>
  </si>
  <si>
    <t>https://www.cookunity.com/meals/ny-al-pastor-tacos</t>
  </si>
  <si>
    <t>Energy Boost; Great for Lunch; High Protein; MTM - Cancer; Peanut Free; Wellness</t>
  </si>
  <si>
    <t>Pork Dumplings with Greens</t>
  </si>
  <si>
    <t>All Meals; Beef; Less than 600 calories; Dairy free</t>
  </si>
  <si>
    <t>diet: High Sugar; diet: High Sodium; diet: High Carb; diet: Mid Protein; diet: Mid Fat; diet: Low Calorie; protein: Pork Shoulder; protein: Pork; cuisine: Chinese; cuisine: Asian; meal-composition: Dumplings; meal-composition: Stuffed/Wrapped Not Handheld; hot-or-cold: Eaten Hot; day-part: Dinner; bom: Mains with Side; bom: From the Farm; usage: Freezer Friendly</t>
  </si>
  <si>
    <t>https://www.cookunity.com/meals/ny-pork-dumplings-chinese-greens</t>
  </si>
  <si>
    <t>Dairy Free; Less Than 600 calories; Peanut Free</t>
  </si>
  <si>
    <t>Pork Katsu with Japanese Curry</t>
  </si>
  <si>
    <t>diet: High Sugar; diet: High Sodium; diet: High Protein; diet: High Fat; diet: High Carb; diet: Mid Calorie; cuisine: Japanese; cuisine: Asian; hot-or-cold: Eaten Hot; bom: Mains with Side; bom: From the Farm; day-part: Dinner; protein: Pork Tenderloin; protein: Pork; meal-composition: Protein + Carbs; meal-composition: Protein + Side</t>
  </si>
  <si>
    <t>https://www.cookunity.com/meals/ny-tominaga--pork-katsu-with-japanese-curry-our-style</t>
  </si>
  <si>
    <t>Pot Roast with Horseradish Sauce</t>
  </si>
  <si>
    <t>All Meals; Beef; Less than 600 calories; Low carbs; Gluten free</t>
  </si>
  <si>
    <t>merchandising-filters: MTM - Cancer; merchandising-filters: Wellness; diet: Mid Sugar; diet: Mid Sodium; diet: High Protein; diet: High Fat; diet: Low Carb; diet: Low Calorie; diet: No Added Sugar; usage: Fast Heating; bom: Soup &amp; Stews; day-part: Dinner; hot-or-cold: Eaten Hot; protein: Beef Chuck; protein: Beef; cuisine: American Comfort; cuisine: American; meal-composition: One-Pot; meal-composition: Stew/Chili</t>
  </si>
  <si>
    <t>https://www.cookunity.com/meals/ny-nawab-pot-roast-with-horseradish-sauce</t>
  </si>
  <si>
    <t>Gluten Free; High Protein; Less Than 600 calories; Low Carbs; MTM - Cancer; Tree Nut Free; Wellness</t>
  </si>
  <si>
    <t>Potato &amp; Chickpea Salad</t>
  </si>
  <si>
    <t>diet: No Added Sugar; merchandising-filters: Wellness; diet: High Sodium; diet: High Fat; diet: Mid Protein; diet: Mid Sugar; diet: Mid Carb; diet: Low Calorie; merchandising-filters: Clean Eating; merchandising-filters: PD Support; merchandising-filters: Great for Lunch; merchandising-labels: Clean Line; hot-or-cold: Eaten Cold; bom: Salads, Bowls &amp; Stir Fries; protein: Legumes; protein: Plant-Based Protein; meal-composition: Grain/Pasta/Carb-Based Bowl; meal-composition: Bowl; cuisine: Middle Eastern; cuisine: Lebanese; diet: Vegetarian; diet: Vegan; diet: Plant-Based</t>
  </si>
  <si>
    <t>https://www.cookunity.com/meals/ny-elkousy-clean-line---probiotic-potato-chickpea-salad</t>
  </si>
  <si>
    <t>Clean Eating; Dairy Free; Gluten Free; Great for Lunch; Less Than 600 calories; PD Support; Peanut Free; Soy Free; Vegan; Vegetarian; Wellness</t>
  </si>
  <si>
    <t>Potato &amp; Peas Samosa</t>
  </si>
  <si>
    <t>diet: High Sugar; diet: Mid Sodium; diet: Mid Protein; diet: High Fat; diet: Mid Carb; diet: Low Calorie; cuisine: Indian; cuisine: Asian; season: Summer; meal-composition: Handheld; meal-composition: Empanada; protein: Plant-Based Protein; protein: Legumes; bom: From the Earth; bom: Mains with Side; day-part: Lunch; day-part: Dinner; hot-or-cold: Eaten Hot; merchandising-filters: Great for Lunch; merchandising-filters: Green Eating; diet: Plant-Based; diet: Vegetarian; diet: Mediterranean</t>
  </si>
  <si>
    <t>https://www.cookunity.com/meals/ny-sampath-potato-peas-samosa</t>
  </si>
  <si>
    <t>Great for Lunch; Green Eating; Less Than 600 calories; Peanut Free; Vegetarian</t>
  </si>
  <si>
    <t>Puerto Rican Chickpea Stew</t>
  </si>
  <si>
    <t>merchandising-filters: Wellness; diet: Mid Sugar; diet: High Sodium; diet: Mid Protein; diet: Mid Fat; diet: High Carb; diet: Low Calorie; merchandising-filters: PD Support; bom: Soup &amp; Stews; diet: Plant-Based; diet: Vegetarian; hot-or-cold: Eaten Hot; meal-composition: One-Pot; meal-composition: Stew/Chili; cuisine: Caribbean; cuisine: Puerto Rican; protein: Plant-Based Protein; protein: Legumes</t>
  </si>
  <si>
    <t>https://www.cookunity.com/meals/ny-nichols-puerto-rican-chickpea-%26-root-vegetable-stew</t>
  </si>
  <si>
    <t>Less Than 600 calories; PD Support; Peanut Free; Vegetarian; Wellness</t>
  </si>
  <si>
    <t>Pulled Pork Barbecue Sandwich</t>
  </si>
  <si>
    <t>diet: High Sugar; diet: High Sodium; diet: High Protein; diet: High Fat; diet: Mid Carb; diet: Mid Calorie; bom: Sandwiches, Wraps &amp; Burgers; day-part: Dinner; day-part: Lunch; hot-or-cold: Eaten Hot; meal-composition: Handheld; meal-composition: Sandwich; cuisine: American; cuisine: American Comfort; protein: Pork; protein: Pork Shoulder; season: Spring</t>
  </si>
  <si>
    <t>https://www.cookunity.com/meals/ny-lafrieda-pulled-pork-barbecue-sandwich</t>
  </si>
  <si>
    <t>Pulled Pork Rice Bowl</t>
  </si>
  <si>
    <t>meal-composition: Bowl; meal-composition: Grain/Pasta/Carb-Based Bowl; cuisine: Asian; cuisine: Japanese; protein: Pork; protein: Pork Shoulder; diet: High Sugar; diet: High Sodium; diet: High Protein; diet: High Fat; diet: High Carb; diet: Mid Calorie; hot-or-cold: Eaten Hot; merchandising-filters: Great for Lunch; day-part: Lunch; day-part: Dinner; bom: Salads, Bowls &amp; Stir Fries; usage: Freezer Friendly</t>
  </si>
  <si>
    <t>https://www.cookunity.com/meals/ny-choi-asian-pulled-pork-rice-bowl.</t>
  </si>
  <si>
    <t>Dairy Free; Great for Lunch; High Protein; Peanut Free</t>
  </si>
  <si>
    <t>Punjabi Chana Masala</t>
  </si>
  <si>
    <t>day-part: Dinner; bom: Mains with Side; hot-or-cold: Eaten Hot; usage: Fast Heating; taste: Spicy; diet: No Added Sugar; merchandising-filters: Wellness; diet: High Carb; diet: Mid Protein; diet: Mid Sugar; diet: Mid Fat; diet: Low Sodium; diet: Low Calorie; cuisine: Indian; meal-composition: Protein + Carbs + Veggies; meal-composition: Protein + Side; protein: Plant-Based Protein; protein: Legumes; diet: Vegetarian; diet: Vegan; diet: Plant-Based</t>
  </si>
  <si>
    <t>https://www.cookunity.com/meals/ny-sampath-punjabi-chana-masala</t>
  </si>
  <si>
    <t>Dairy Free; Gluten Free; Less Than 600 calories; Low Sodium; Peanut Free; Spicy; Vegan; Vegetarian; Wellness</t>
  </si>
  <si>
    <t>Puree Cauliflower Soup</t>
  </si>
  <si>
    <t>All Meals; GLP-1 balanced; Vegan; Less than 600 calories; Low carbs; Gluten free; Dairy free</t>
  </si>
  <si>
    <t>merchandising-filters: MTM - Post-cancer; merchandising-filters: MTM - Diabetes; merchandising-filters: GLP-1; merchandising-filters: Wellness; diet: Mid Sugar; diet: Mid Sodium; diet: Mid Protein; diet: High Fat; diet: Low Carb; diet: Low Calorie; diet: No Added Sugar; cuisine: French; cuisine: European; season: Fall; bom: Soup &amp; Stews; hot-or-cold: Eaten Hot; day-part: Lunch; day-part: Dinner; usage: Freezer Friendly; protein: No Protein; meal-composition: Soup; meal-composition: One-Pot; diet: Plant-Based; diet: Vegan; diet: Mediterranean; merchandising-filters: Great for Lunch; merchandising-filters: PD Support</t>
  </si>
  <si>
    <t>https://www.cookunity.com/meals/ny-nichols-glp--1-creamy-cauliflower-soup</t>
  </si>
  <si>
    <t>Contains Tree Nut; Dairy Free; GLP-1; Gluten Free; Great for Lunch; Less Than 600 calories; Low Carbs; MTM - Diabetes; MTM - Post-cancer; PD Support; Vegan; Wellness</t>
  </si>
  <si>
    <t>Québécois-Style Pork Shepherds Pie</t>
  </si>
  <si>
    <t>diet: Mid Calorie; diet: Mid Carb; diet: High Fat; diet: Mid Protein; diet: High Sodium; diet: Low Sugar; diet: No Added Sugar; bom: Mains with Side; merchandising-filters: PD Support; hot-or-cold: Eaten Hot; usage: Fast Heating; day-part: Dinner; meal-composition: Baked; meal-composition: Pie/Pot Pie; cuisine: European; cuisine: French; protein: Pork; protein: Pork Shoulder</t>
  </si>
  <si>
    <t>https://www.cookunity.com/meals/ny-nassif-quebecois-pork-shoulder-pot-pie</t>
  </si>
  <si>
    <t>Low Sugar; PD Support; Peanut Free</t>
  </si>
  <si>
    <t>Quinoa &amp; Veggie Enchiladas</t>
  </si>
  <si>
    <t>day-part: Dinner; bom: Tortilla; hot-or-cold: Eaten Hot; taste: Spicy; diet: Mid Sugar; diet: High Sodium; diet: Mid Protein; diet: High Fat; diet: Mid Carb; diet: Mid Calorie; diet: No Added Sugar; diet: Vegetarian; diet: Plant-Based; meal-composition: Baked; meal-composition: Enchiladas; cuisine: Latin American; cuisine: Mexican; protein: Plant-Based Protein; protein: Legumes</t>
  </si>
  <si>
    <t>https://www.cookunity.com/meals/ny-quinoa-veggie-enchiladas</t>
  </si>
  <si>
    <t>Gluten Free; Spicy; Tree Nut Free; Vegetarian</t>
  </si>
  <si>
    <t>Red Rice &amp; Lentil Power Bowl</t>
  </si>
  <si>
    <t>diet: No Added Sugar; merchandising-filters: Wellness; diet: High Sugar; diet: High Fat; diet: High Carb; diet: Mid Protein; diet: Mid Calorie; diet: Low Sodium; protein: Legumes; protein: Plant-Based Protein; meal-composition: Grain/Pasta/Carb-Based Bowl; meal-composition: Bowl; hot-or-cold: Eaten Cold; bom: Salads, Bowls &amp; Stir Fries; day-part: Dinner; day-part: Lunch; taste: Spicy; merchandising-filters: Great for Lunch; usage: Fast Heating; hot-or-cold: Eaten Hot; cuisine: Middle Eastern; cuisine: Lebanese; diet: Vegetarian; diet: Vegan; diet: Plant-Based</t>
  </si>
  <si>
    <t>https://www.cookunity.com/meals/ny-donnelly-red-rice-%26-lentil-power-bowl</t>
  </si>
  <si>
    <t>Contains Tree Nut; Dairy Free; Gluten Free; Great for Lunch; Low Sodium; Soy Free; Spicy; Vegan; Vegetarian; Wellness</t>
  </si>
  <si>
    <t>Rigatoni Amatriciana with Pancetta</t>
  </si>
  <si>
    <t>day-part: Dinner; bom: Pizza &amp; Pasta; diet: High Calorie; diet: High Carb; diet: High Fat; diet: High Protein; diet: High Sodium; diet: High Sugar; diet: No Added Sugar; usage: Freezer Friendly; merchandising-filters: Chef Marketing Collections; meal-composition: Pasta; meal-composition: Regular; cuisine: European; cuisine: Italian; protein: Pork; protein: Bacon</t>
  </si>
  <si>
    <t>https://www.cookunity.com/meals/ny-rigatoni-amatriciana</t>
  </si>
  <si>
    <t>Chef Marketing Collections; High Protein; Peanut Free; Soy Free</t>
  </si>
  <si>
    <t>Roast Salmon with Chili Crisp</t>
  </si>
  <si>
    <t>merchandising-filters: Energy Boost; diet: High Fat; diet: Mid Sugar; diet: Mid Sodium; diet: Mid Carb; diet: Mid Calorie; diet: High Protein; day-part: Dinner; bom: Mains with Side; hot-or-cold: Eaten Hot; meal-composition: Protein + Carbs + Veggies; meal-composition: Protein + Side; cuisine: Asian; cuisine: Thai; protein: Salmon; protein: Fish</t>
  </si>
  <si>
    <t>https://www.cookunity.com/meals/ny-bernstein-coconut-poached-salmon</t>
  </si>
  <si>
    <t>Roasted Branzino &amp; Ratatouille</t>
  </si>
  <si>
    <t>merchandising-filters: GLP-1; merchandising-filters: Wellness; diet: High Sugar; diet: Low Sodium; diet: Mid Protein; diet: High Fat; diet: Low Carb; diet: Low Calorie; diet: No Added Sugar; day-part: Dinner; bom: Mains with Side; bom: From the Sea; hot-or-cold: Eaten Hot; diet: Mediterranean; diet: Pescatarian; merchandising-filters: PD Support; season: Summer; meal-composition: Protein + Side; meal-composition: Protein + Veggies; cuisine: European; cuisine: Italian; protein: Fish; protein: Sea Bass</t>
  </si>
  <si>
    <t>https://www.cookunity.com/meals/ny-delucie-roasted-barramundi</t>
  </si>
  <si>
    <t>Dairy Free; GLP-1; Gluten Free; Less Than 600 calories; Low Carbs; Low Sodium; PD Support; Soy Free; Tree Nut Free; Wellness</t>
  </si>
  <si>
    <t>Roasted Butter Chicken</t>
  </si>
  <si>
    <t>merchandising-filters: Energy Boost; diet: Mid Sugar; diet: Low Sodium; diet: High Protein; diet: High Fat; diet: High Carb; diet: Mid Calorie; cuisine: Indian; cuisine: Asian; protein: Chicken Thigh; protein: Poultry; meal-composition: Protein + Carbs; meal-composition: Protein + Side; bom: From the Farm; bom: Mains with Side; hot-or-cold: Eaten Hot; taste: Spicy</t>
  </si>
  <si>
    <t>https://www.cookunity.com/meals/ny-khanna-butter-chicken-thighs</t>
  </si>
  <si>
    <t>Contains Tree Nut; Energy Boost; Gluten Free; High Protein; Low Sodium; Soy Free; Spicy</t>
  </si>
  <si>
    <t>Roasted Cod &amp; White Bean Stew</t>
  </si>
  <si>
    <t>All Meals; Seafood; Less than 600 calories; Low carbs; Gluten free; Dairy free</t>
  </si>
  <si>
    <t>merchandising-filters: MTM - Post-cancer; diet: Mid Sugar; diet: High Sodium; diet: High Protein; diet: Mid Fat; diet: Low Carb; diet: Low Calorie; diet: No Added Sugar; cuisine: Italian; cuisine: European; meal-composition: One-Pot; meal-composition: Stew/Chili; protein: Fish; protein: Cod; bom: Soup &amp; Stews; diet: Pescatarian; diet: Mediterranean; day-part: Lunch; day-part: Dinner; hot-or-cold: Eaten Hot; season: Winter; season: Fall; merchandising-filters: Green Eating</t>
  </si>
  <si>
    <t>https://www.cookunity.com/meals/ny-forgione-roasted-cod-%26-white-bean-stew</t>
  </si>
  <si>
    <t>Dairy Free; Gluten Free; Green Eating; High Protein; Less Than 600 calories; Low Carbs; MTM - Post-cancer; Peanut Free</t>
  </si>
  <si>
    <t>Roasted Pepper Shrimp Pasta</t>
  </si>
  <si>
    <t>diet: High Sugar; diet: High Sodium; diet: Mid Protein; diet: High Fat; diet: Mid Carb; diet: Mid Calorie; diet: No Added Sugar; cuisine: Chinese; cuisine: Asian; merchandising-filters: Localized Pick; protein: Shrimp; protein: Shellfish / Mollusk; meal-composition: Regular; meal-composition: Pasta; diet: Pescatarian; usage: Fast Heating; hot-or-cold: Eaten Hot; bom: Pizza &amp; Pasta; day-part: Dinner</t>
  </si>
  <si>
    <t>https://www.cookunity.com/meals/ny-kim-shrimp-%26-noodles</t>
  </si>
  <si>
    <t>Dairy Free; Localized Pick; Peanut Free; Soy Free</t>
  </si>
  <si>
    <t>Roasted Red Miso Cod</t>
  </si>
  <si>
    <t>diet: Pescatarian; day-part: Dinner; bom: Mains with Side; hot-or-cold: Eaten Hot; merchandising-filters: Energy Boost; diet: Mid Sugar; diet: Mid Sodium; diet: High Protein; diet: Mid Fat; diet: High Carb; diet: Low Calorie; meal-composition: Protein + Carbs + Veggies; meal-composition: Protein + Side; cuisine: Asian; cuisine: Japanese; protein: Cod; protein: Fish</t>
  </si>
  <si>
    <t>https://www.cookunity.com/meals/ny-tominaga--roasted-red-miso-cod</t>
  </si>
  <si>
    <t>Dairy Free; Energy Boost; Gluten Free; High Protein; Less Than 600 calories; Peanut Free</t>
  </si>
  <si>
    <t>Roasted Salmon &amp; Pistachio Mole</t>
  </si>
  <si>
    <t>All Meals; GLP-1 balanced; Seafood; Less than 600 calories; Low sodium</t>
  </si>
  <si>
    <t>meal-composition: Protein + Side; meal-composition: Protein + Carbs + Veggies; cuisine: Latin American; cuisine: Mexican; protein: Fish; protein: Salmon; merchandising-filters: MTM - Cancer; merchandising-filters: GLP-1; merchandising-filters: Energy Boost; merchandising-filters: Wellness; diet: Mid Sugar; diet: Low Sodium; diet: High Protein; diet: High Fat; diet: Mid Carb; diet: Low Calorie; diet: No Added Sugar; bom: Mains with Side; bom: From the Sea; taste: Spicy; day-part: Dinner; hot-or-cold: Eaten Hot</t>
  </si>
  <si>
    <t>https://www.cookunity.com/meals/ny-mendez-roasted-salmon-with-couscous-a-la-mexicana</t>
  </si>
  <si>
    <t>Contains Tree Nut; Energy Boost; GLP-1; High Protein; Less Than 600 calories; Low Sodium; MTM - Cancer; Spicy; Wellness</t>
  </si>
  <si>
    <t>Roasted Salmon in Ginger Cream Sauce</t>
  </si>
  <si>
    <t>merchandising-filters: Energy Boost; diet: Mid Sugar; diet: Mid Sodium; diet: High Protein; diet: High Fat; diet: Mid Carb; diet: Mid Calorie; diet: No Added Sugar; cuisine: Modern American; cuisine: American; hot-or-cold: Eaten Hot; diet: Pescatarian; day-part: Lunch; day-part: Dinner; bom: From the Sea; bom: Mains with Side; meal-composition: Protein + Side; meal-composition: Protein + Carbs + Veggies; protein: Fish; protein: Salmon</t>
  </si>
  <si>
    <t>https://www.cookunity.com/meals/ny-by-miriam-milord-ginger-cream-salmon-w%2F-white-rice-%26-asparagus</t>
  </si>
  <si>
    <t>Energy Boost; Gluten Free; High Protein; Peanut Free</t>
  </si>
  <si>
    <t>Roasted Salmon with Basil Sauce</t>
  </si>
  <si>
    <t>All Meals; Seafood; Low carbs; Gluten free; Dairy free; Keto diet</t>
  </si>
  <si>
    <t>taste: Spicy; day-part: Dinner; bom: Mains with Side; bom: From the Sea; diet: No Added Sugar; diet: Mid Calorie; diet: Low Carb; diet: High Fat; diet: High Protein; diet: High Sodium; diet: Low Sugar; diet: Keto; diet: Pescatarian; merchandising-filters: Fitness Fuel; merchandising-filters: Localized Pick; merchandising-filters: Virta Premium Meals; meal-composition: Protein + Side; meal-composition: Protein + Veggies; cuisine: American; cuisine: Modern American; protein: Fish; protein: Salmon</t>
  </si>
  <si>
    <t>https://www.cookunity.com/meals/ny-roasted-salmon-over-sauteed-spinach</t>
  </si>
  <si>
    <t>Contains Tree Nut; Dairy Free; Fitness Fuel; Gluten Free; High Protein; Keto Diet; Localized Pick; Low Carbs; Low Sugar; Soy Free; Spicy; Virta Premium Meals</t>
  </si>
  <si>
    <t>Rocco’s Bronx Bomb Burrito</t>
  </si>
  <si>
    <t>diet: High Sugar; diet: High Sodium; diet: High Protein; diet: High Fat; diet: High Carb; diet: High Calorie; cuisine: Italian; cuisine: Tex Mex; cuisine: European; cuisine: American; taste: Spicy; meal-composition: Handheld; meal-composition: Burrito; hot-or-cold: Eaten Hot; protein: Pork; protein: Ground Pork</t>
  </si>
  <si>
    <t>https://www.cookunity.com/meals/ny-dispirito-meatball-burrito</t>
  </si>
  <si>
    <t>Romesco Chicken Thighs</t>
  </si>
  <si>
    <t>merchandising-filters: Energy Boost; diet: Mid Sugar; diet: High Sodium; diet: High Protein; diet: High Fat; diet: Mid Carb; diet: Low Calorie; diet: No Added Sugar; day-part: Dinner; season: Summer; bom: Mains with Side; hot-or-cold: Eaten Hot; usage: Fast Heating; taste: Spicy; diet: Mediterranean; meal-composition: Protein + Side; meal-composition: Protein + Carbs + Veggies; cuisine: European; cuisine: Spanish; protein: Poultry; protein: Chicken Thigh</t>
  </si>
  <si>
    <t>https://www.cookunity.com/meals/ny-hall-roasted-chicken-thighs-with-romesco-%26-herby-potatoes</t>
  </si>
  <si>
    <t>Contains Tree Nut; Dairy Free; Energy Boost; High Protein; Less Than 600 calories; Soy Free; Spicy</t>
  </si>
  <si>
    <t>Saffron Shrimp Risotto</t>
  </si>
  <si>
    <t>diet: Mid Sugar; diet: High Sodium; diet: Mid Protein; diet: Mid Fat; diet: Mid Carb; diet: Low Calorie; cuisine: Italian; cuisine: European; day-part: Dinner; usage: Freezer Friendly; usage: Fast Heating; bom: Pizza &amp; Pasta; hot-or-cold: Eaten Hot; meal-composition: One-Pot; meal-composition: Risotto; protein: Shellfish / Mollusk; protein: Shrimp</t>
  </si>
  <si>
    <t>https://www.cookunity.com/meals/ny-dispirito-saffron-risotto-with-shrimp</t>
  </si>
  <si>
    <t>Less Than 600 calories; Peanut Free</t>
  </si>
  <si>
    <t>Salmon En Croûte</t>
  </si>
  <si>
    <t>All Meals; Seafood; Low carbs</t>
  </si>
  <si>
    <t>diet: Mid Calorie; diet: Low Carb; diet: High Fat; diet: High Protein; diet: High Sodium; diet: Low Sugar; diet: No Added Sugar; day-part: Dinner; bom: Mains with Side; hot-or-cold: Eaten Hot; usage: Fast Heating; merchandising-filters: Great for Lunch; diet: Pescatarian; meal-composition: Baked; meal-composition: Pie/Pot Pie; cuisine: European; cuisine: French; protein: Fish; protein: Salmon</t>
  </si>
  <si>
    <t>https://www.cookunity.com/meals/ny-lopez-salmon-a-cro%C3%BAte-with-green-herb-sauce</t>
  </si>
  <si>
    <t>Great for Lunch; High Protein; Low Carbs; Low Sugar; Soy Free; Tree Nut Free</t>
  </si>
  <si>
    <t>Salmon Wellness Bowl</t>
  </si>
  <si>
    <t>All Meals; GLP-1 balanced; Seafood; Less than 600 calories; Low carbs; Gluten free; Dairy free; Low sodium; Keto diet</t>
  </si>
  <si>
    <t>diet: Keto; merchandising-filters: GLP-1; merchandising-filters: Wellness; diet: Mid Sugar; diet: Low Sodium; diet: High Protein; diet: High Fat; diet: Low Carb; diet: Low Calorie; diet: No Added Sugar; diet: Pescatarian; diet: Mediterranean; taste: Spicy; day-part: Dinner; day-part: Lunch; hot-or-cold: Eaten Hot; bom: Salads, Bowls &amp; Stir Fries; meal-composition: Bowl; meal-composition: Cooked Veggie-Based Bowl; cuisine: American; cuisine: Modern American; protein: Fish; protein: Salmon; merchandising-filters: Great for Lunch; merchandising-filters: PD Support; merchandising-filters: Localized Pick</t>
  </si>
  <si>
    <t>https://www.cookunity.com/meals/ny-perez-salmon-taco-bowl</t>
  </si>
  <si>
    <t>Dairy Free; GLP-1; Gluten Free; Great for Lunch; High Protein; Keto Diet; Less Than 600 calories; Localized Pick; Low Carbs; Low Sodium; PD Support; Soy Free; Spicy; Tree Nut Free; Wellness</t>
  </si>
  <si>
    <t>Salmon with Pistachio Sauce</t>
  </si>
  <si>
    <t>diet: Keto; diet: Mid Sugar; diet: High Sodium; diet: High Protein; diet: High Fat; diet: Low Carb; diet: Low Calorie; diet: No Added Sugar; day-part: Dinner; bom: Mains with Side; bom: From the Sea; hot-or-cold: Eaten Hot; diet: Pescatarian; merchandising-filters: Localized Pick; merchandising-filters: Virta Premium Meals; meal-composition: Protein + Side; meal-composition: Protein + Veggies; cuisine: American; cuisine: Modern American; protein: Fish; protein: Salmon</t>
  </si>
  <si>
    <t>https://www.cookunity.com/meals/ny-salmon-pistachio-sauce</t>
  </si>
  <si>
    <t>Contains Tree Nut; Dairy Free; Gluten Free; High Protein; Keto Diet; Less Than 600 calories; Localized Pick; Low Carbs; Soy Free; Virta Premium Meals</t>
  </si>
  <si>
    <t>Sausage &amp; Pepper Dirty Rice</t>
  </si>
  <si>
    <t>diet: Mid Sugar; diet: High Sodium; diet: Mid Protein; diet: High Fat; diet: Mid Carb; diet: Mid Calorie; cuisine: Modern American; cuisine: American; meal-composition: Protein + Side; meal-composition: Protein + Carbs + Veggies; protein: Pork; protein: Pork Sausage; hot-or-cold: Eaten Hot; bom: Mains with Side; bom: From the Farm; day-part: Dinner</t>
  </si>
  <si>
    <t>https://www.cookunity.com/meals/ny-choi-sausage-%26-pepper-dirty-rice</t>
  </si>
  <si>
    <t>Peanut Free</t>
  </si>
  <si>
    <t>Scallion-Butter Grilled Branzino</t>
  </si>
  <si>
    <t>meal-composition: Protein + Side; meal-composition: Protein + Carbs + Veggies; cuisine: European; cuisine: French; protein: Fish; protein: Sea Bass; merchandising-filters: Fine Dining; diet: Mid Sugar; diet: High Sodium; diet: High Protein; diet: High Fat; diet: Low Carb; diet: Mid Calorie; diet: No Added Sugar; diet: Pescatarian; day-part: Dinner; bom: From the Sea; bom: Mains with Side; hot-or-cold: Eaten Hot; season: Summer</t>
  </si>
  <si>
    <t>https://www.cookunity.com/meals/ny-prime-scallion-butter-grilled-branzino</t>
  </si>
  <si>
    <t>Fine Dining; Gluten Free; High Protein; Low Carbs; Soy Free; Tree Nut Free</t>
  </si>
  <si>
    <t>Seafood Mac 'n' Cheese</t>
  </si>
  <si>
    <t>diet: No Added Sugar; diet: High Sodium; diet: High Fat; diet: High Calorie; diet: Mid Sugar; diet: Mid Carb; diet: High Protein; meal-composition: Pasta; meal-composition: Regular; cuisine: American; cuisine: American Comfort; merchandising-filters: Fine Dining; hot-or-cold: Eaten Hot; diet: Pescatarian; bom: Chef Specials (Extra Fee); day-part: Dinner; usage: Freezer Friendly; protein: Shellfish / Mollusk; protein: Shrimp</t>
  </si>
  <si>
    <t>https://www.cookunity.com/meals/ny-prime-seafood-delight-mac-&amp;#x27;n&amp;#x27;-cheese</t>
  </si>
  <si>
    <t>Fine Dining; High Protein; Tree Nut Free</t>
  </si>
  <si>
    <t>Seared Salmon with Berry Glaze</t>
  </si>
  <si>
    <t>All Meals; GLP-1 balanced; Seafood; Gluten free; Dairy free; Low sodium</t>
  </si>
  <si>
    <t>diet: Pescatarian; merchandising-filters: MTM - Cancer; merchandising-filters: GLP-1; merchandising-filters: Energy Boost; merchandising-filters: Wellness; diet: Mid Sugar; diet: Low Sodium; diet: High Protein; diet: High Fat; diet: Mid Carb; diet: Mid Calorie; day-part: Dinner; bom: Mains with Side; bom: From the Sea; hot-or-cold: Eaten Hot; meal-composition: Protein + Side; meal-composition: Protein + Carbs + Veggies; cuisine: American; cuisine: American Comfort; protein: Fish; protein: Salmon</t>
  </si>
  <si>
    <t>https://www.cookunity.com/meals/ny-salmon-with-berry-glaze</t>
  </si>
  <si>
    <t>Dairy Free; Energy Boost; GLP-1; Gluten Free; High Protein; Low Sodium; MTM - Cancer; Peanut Free; Soy Free; Wellness</t>
  </si>
  <si>
    <t>Seared Salmon With Cauliflower Cous Cous</t>
  </si>
  <si>
    <t>meal-composition: Protein + Side; meal-composition: Protein + Carbs + Veggies; protein: Fish; protein: Salmon; merchandising-filters: MTM - Post-cancer; merchandising-filters: MTM - Cancer; merchandising-filters: Wellness; diet: Mid Sugar; diet: Mid Sodium; diet: High Protein; diet: High Fat; diet: Low Carb; diet: Low Calorie; diet: No Added Sugar; cuisine: Lebanese; cuisine: Middle Eastern; day-part: Dinner; bom: From the Sea; bom: Mains with Side; hot-or-cold: Eaten Hot; diet: Pescatarian</t>
  </si>
  <si>
    <t>https://www.cookunity.com/meals/ny-salmon-zaatar</t>
  </si>
  <si>
    <t>Dairy Free; Gluten Free; High Protein; Less Than 600 calories; Low Carbs; MTM - Cancer; MTM - Post-cancer; Peanut Free; Soy Free; Wellness</t>
  </si>
  <si>
    <t>Seared Sea Bass with Tamari Chili Sauce</t>
  </si>
  <si>
    <t>diet: High Sugar; diet: High Sodium; diet: High Protein; diet: High Fat; diet: Mid Carb; diet: Mid Calorie; bom: Chef Specials (Extra Fee); day-part: Dinner; diet: Pescatarian; hot-or-cold: Eaten Hot; merchandising-filters: Fine Dining; merchandising-filters: Localized Pick; meal-composition: Protein + Side; meal-composition: Protein + Carbs + Veggies; cuisine: Asian; cuisine: Laotian; protein: Fish; protein: Sea Bass</t>
  </si>
  <si>
    <t>https://www.cookunity.com/meals/ny-schwader-sea-bass-tamari-chili-sauce</t>
  </si>
  <si>
    <t>Contains Tree Nut; Dairy Free; Fine Dining; Gluten Free; High Protein; Localized Pick</t>
  </si>
  <si>
    <t>Seared Shrimp &amp; Quinoa Bowl</t>
  </si>
  <si>
    <t>All Meals; GLP-1 balanced; Seafood; Less than 600 calories; Gluten free; Dairy free</t>
  </si>
  <si>
    <t>diet: No Added Sugar; merchandising-filters: MTM - Post-cancer; merchandising-filters: MTM - Diabetes; merchandising-filters: GLP-1; merchandising-filters: Wellness; diet: Mid Protein; diet: Mid Sodium; diet: Mid Fat; diet: Mid Carb; diet: Low Sugar; diet: Low Calorie; meal-composition: Bowl; meal-composition: Grain/Pasta/Carb-Based Bowl; protein: Shellfish / Mollusk; protein: Shrimp; usage: Freezer Friendly; cuisine: Latin American; cuisine: Mexican; merchandising-filters: Chef Marketing Collections</t>
  </si>
  <si>
    <t>https://www.cookunity.com/meals/ny-mendez-shrimp-quinoa-bowl-reboot</t>
  </si>
  <si>
    <t>Chef Marketing Collections; Dairy Free; GLP-1; Gluten Free; Less Than 600 calories; Low Sugar; MTM - Diabetes; MTM - Post-cancer; Peanut Free; Soy Free; Wellness</t>
  </si>
  <si>
    <t>Seared Soy-Butter Barramundi</t>
  </si>
  <si>
    <t>merchandising-filters: Energy Boost; diet: Mid Sugar; diet: High Sodium; diet: High Protein; diet: High Fat; diet: Mid Carb; diet: Mid Calorie; hot-or-cold: Eaten Hot; day-part: Dinner; bom: From the Sea; bom: Mains with Side; usage: Freezer Friendly; diet: Pescatarian; meal-composition: Protein + Side; meal-composition: Protein + Carbs + Veggies; cuisine: Asian; cuisine: Japanese; protein: Fish; protein: Barramundi</t>
  </si>
  <si>
    <t>https://www.cookunity.com/meals/ny-choi-seared-soy-butter-barramundi</t>
  </si>
  <si>
    <t>Sesame-Ginger Tofu Poke Bowl</t>
  </si>
  <si>
    <t>diet: Plant-Based; diet: Vegan; diet: Vegetarian; usage: Freezer Friendly; hot-or-cold: Eaten Cold; day-part: Dinner; bom: Salads, Bowls &amp; Stir Fries; diet: High Sugar; diet: High Sodium; diet: Mid Protein; diet: High Fat; diet: Mid Carb; diet: Mid Calorie; meal-composition: Bowl; meal-composition: Grain/Pasta/Carb-Based Bowl; cuisine: Asian; cuisine: Japanese; protein: Plant-Based Protein; protein: Tofu</t>
  </si>
  <si>
    <t>https://www.cookunity.com/meals/ny-sesame-ginger-tofu</t>
  </si>
  <si>
    <t>Dairy Free; Gluten Free; Peanut Free; Vegan; Vegetarian</t>
  </si>
  <si>
    <t>Shawarma-Style Cauliflower</t>
  </si>
  <si>
    <t>merchandising-filters: Wellness; diet: High Sugar; diet: Low Sodium; diet: Mid Protein; diet: High Fat; diet: Low Carb; diet: Low Calorie; diet: No Added Sugar; diet: Vegetarian; diet: Plant-Based; hot-or-cold: Eaten Hot; bom: From the Earth; bom: Mains with Side; day-part: Lunch; day-part: Dinner; merchandising-filters: PD Support; merchandising-filters: Great for Lunch; meal-composition: Protein + Side; meal-composition: Protein + Carbs + Veggies; cuisine: Middle Eastern; cuisine: Lebanese; protein: Plant-Based Protein; protein: Legumes</t>
  </si>
  <si>
    <t>https://www.cookunity.com/meals/ny-nassif-shawarma-style-cauliflower</t>
  </si>
  <si>
    <t>Contains Tree Nut; Gluten Free; Great for Lunch; Less Than 600 calories; Low Carbs; Low Sodium; PD Support; Vegetarian; Wellness</t>
  </si>
  <si>
    <t>Shrimp &amp; Herbed Cauliflower Rice</t>
  </si>
  <si>
    <t>meal-composition: Protein + Side; meal-composition: Protein + Veggies; cuisine: American; cuisine: Modern American; protein: Shellfish / Mollusk; protein: Shrimp; merchandising-filters: Chef Marketing Collections; merchandising-filters: Wellness; diet: Mid Sugar; diet: Mid Sodium; diet: Mid Protein; diet: High Fat; diet: Low Carb; diet: Low Calorie; diet: No Added Sugar; day-part: Dinner; bom: Mains with Side; bom: From the Sea; hot-or-cold: Eaten Hot; usage: Freezer Friendly; diet: Pescatarian</t>
  </si>
  <si>
    <t>https://www.cookunity.com/meals/ny-shrimp-cauli-rice-bowl</t>
  </si>
  <si>
    <t>Chef Marketing Collections; Gluten Free; Less Than 600 calories; Low Carbs; Soy Free; Tree Nut Free; Wellness</t>
  </si>
  <si>
    <t>Shrimp &amp; Sausage Gumbo</t>
  </si>
  <si>
    <t>meal-composition: One-Pot; meal-composition: Stew/Chili; cuisine: American; cuisine: Cajun/Creole; diet: Low Sugar; diet: High Sodium; diet: Mid Protein; diet: High Fat; diet: Mid Carb; diet: Mid Calorie; taste: Spicy; hot-or-cold: Eaten Hot; bom: Mains with Side; bom: From the Sea; day-part: Dinner; usage: Freezer Friendly; protein: Shellfish / Mollusk; protein: Shrimp</t>
  </si>
  <si>
    <t>https://www.cookunity.com/meals/ny-evans-shrimp-%26-sausage-gumbo</t>
  </si>
  <si>
    <t>Low Sugar; Peanut Free; Spicy</t>
  </si>
  <si>
    <t>Shrimp and Smoked Andouille Sausage Jambalaya</t>
  </si>
  <si>
    <t>diet: Mid Sugar; diet: High Sodium; diet: Mid Protein; diet: High Fat; diet: High Carb; diet: Mid Calorie; cuisine: Cajun/Creole; cuisine: American; protein: Shrimp; protein: Shellfish / Mollusk; season: Fall; usage: Freezer Friendly; hot-or-cold: Eaten Hot; day-part: Dinner; bom: Mains with Side; bom: From the Sea; meal-composition: Protein + Side; meal-composition: Protein + Carbs + Veggies</t>
  </si>
  <si>
    <t>https://www.cookunity.com/meals/ny-shrimp-sausage-jambalaya</t>
  </si>
  <si>
    <t>Shrimp Causa with Huancaina Sauce</t>
  </si>
  <si>
    <t>diet: Pescatarian; diet: Mid Sugar; diet: High Sodium; diet: Mid Protein; diet: High Fat; diet: Low Carb; diet: Mid Calorie; day-part: Lunch; day-part: Dinner; bom: Sides; hot-or-cold: Eaten Cold; merchandising-filters: Great for Lunch; meal-composition: Protein + Side; meal-composition: Protein + Carbs + Veggies; cuisine: Latin American; cuisine: Peruvian; protein: Shellfish / Mollusk; protein: Shrimp</t>
  </si>
  <si>
    <t>https://www.cookunity.com/meals/ny-bernstein-shrimp-salad-causa-with-huancaina-sauce-(ny)</t>
  </si>
  <si>
    <t>Gluten Free; Great for Lunch; Low Carbs; Peanut Free</t>
  </si>
  <si>
    <t>Shrimp Enchiladas</t>
  </si>
  <si>
    <t>merchandising-filters: Energy Boost; diet: Mid Sugar; diet: High Sodium; diet: High Protein; diet: High Fat; diet: High Carb; diet: Mid Calorie; diet: No Added Sugar; bom: Tortilla; hot-or-cold: Eaten Hot; day-part: Dinner; meal-composition: Baked; meal-composition: Enchiladas; cuisine: Latin American; cuisine: Mexican; protein: Shellfish / Mollusk; protein: Shrimp</t>
  </si>
  <si>
    <t>https://www.cookunity.com/meals/ny-lopez-shrimp-enchiladas-with-green-tomatillo-salsa</t>
  </si>
  <si>
    <t>Shrimp Hummus Bowl</t>
  </si>
  <si>
    <t>meal-composition: Bowl; meal-composition: Grain/Pasta/Carb-Based Bowl; cuisine: Middle Eastern; cuisine: Lebanese; protein: Shellfish / Mollusk; protein: Shrimp; diet: Low Sugar; diet: High Sodium; diet: Mid Protein; diet: Mid Fat; diet: Low Carb; diet: Low Calorie; diet: No Added Sugar; hot-or-cold: Eaten Cold; day-part: Lunch; day-part: Dinner; bom: Salads, Bowls &amp; Stir Fries; diet: Pescatarian</t>
  </si>
  <si>
    <t>https://www.cookunity.com/meals/ny-garcia-shrimp-hummus-bowl-with-quinoa</t>
  </si>
  <si>
    <t>Gluten Free; Less Than 600 calories; Low Carbs; Low Sugar; Peanut Free</t>
  </si>
  <si>
    <t>Sicilian Cauliflower Spaghetti</t>
  </si>
  <si>
    <t>diet: High Sugar; diet: High Sodium; diet: Mid Protein; diet: High Fat; diet: High Carb; diet: Mid Calorie; diet: No Added Sugar; cuisine: Italian; cuisine: European; diet: Vegetarian; diet: Plant-Based; day-part: Dinner; bom: Pizza &amp; Pasta; hot-or-cold: Eaten Hot; usage: Fast Heating; merchandising-filters: PD Support; taste: Spicy; meal-composition: Pasta; meal-composition: Regular; protein: Eggs/Dairy; protein: Cheese</t>
  </si>
  <si>
    <t>https://www.cookunity.com/meals/ny-dieterle-sicilian-cauliflower-spaghetti</t>
  </si>
  <si>
    <t>Contains Tree Nut; PD Support; Soy Free; Spicy; Vegetarian</t>
  </si>
  <si>
    <t>Singaporean Chicken Curry Rice Bowl</t>
  </si>
  <si>
    <t>merchandising-filters: Energy Boost; diet: Mid Sugar; diet: High Sodium; diet: High Protein; diet: High Fat; diet: Mid Carb; diet: Mid Calorie; hot-or-cold: Eaten Hot; day-part: Dinner; bom: From the Farm; bom: Mains with Side; meal-composition: One-Pot; meal-composition: Curry; cuisine: Asian; cuisine: Malaysian; protein: Poultry; protein: Chicken Thigh; merchandising-filters: Localized Pick</t>
  </si>
  <si>
    <t>https://www.cookunity.com/meals/ny-pryke-singaporean-chicken-curry-bowl</t>
  </si>
  <si>
    <t>Dairy Free; Energy Boost; High Protein; Localized Pick; Peanut Free</t>
  </si>
  <si>
    <t>Singaporean Shrimp Rendang</t>
  </si>
  <si>
    <t>merchandising-filters: MTM - Cancer; diet: High Sugar; diet: Mid Sodium; diet: Mid Protein; diet: High Fat; diet: Mid Carb; diet: Mid Calorie; usage: Freezer Friendly; bom: From the Sea; bom: Mains with Side; day-part: Dinner; hot-or-cold: Eaten Hot; meal-composition: Protein + Side; meal-composition: Protein + Carbs + Veggies; cuisine: Asian; cuisine: Indonesian; protein: Shellfish / Mollusk; protein: Shrimp</t>
  </si>
  <si>
    <t>https://www.cookunity.com/meals/ny-pryke-singaporean-shrimp-rendang</t>
  </si>
  <si>
    <t>Dairy Free; MTM - Cancer; Peanut Free; Soy Free</t>
  </si>
  <si>
    <t>Sliced Bistro Steak with Glazed Peas and Carrots</t>
  </si>
  <si>
    <t>merchandising-filters: MTM - Cancer; merchandising-filters: Wellness; diet: High Sugar; diet: Mid Sodium; diet: High Protein; diet: Mid Fat; diet: Low Carb; diet: Low Calorie; hot-or-cold: Eaten Hot; bom: Chef Specials (Extra Fee); day-part: Dinner; meal-composition: Protein + Side; meal-composition: Protein + Veggies; cuisine: American; cuisine: American Comfort; protein: Beef; protein: Sirloin Steak</t>
  </si>
  <si>
    <t>https://www.cookunity.com/meals/ny-sliced-bistro-steak</t>
  </si>
  <si>
    <t>Gluten Free; High Protein; Less Than 600 calories; Low Carbs; MTM - Cancer; Soy Free; Tree Nut Free; Wellness</t>
  </si>
  <si>
    <t>Slow and Low Maple-Glazed Short Rib</t>
  </si>
  <si>
    <t>All Meals; Beef; Low sodium</t>
  </si>
  <si>
    <t>usage: Freezer Friendly; diet: High Sugar; diet: Low Sodium; diet: High Protein; diet: High Fat; diet: High Carb; diet: Mid Calorie; hot-or-cold: Eaten Hot; day-part: Dinner; bom: Chef Specials (Extra Fee); merchandising-filters: Fine Dining; merchandising-filters: Localized Pick; meal-composition: Protein + Side; meal-composition: Protein + Carbs + Veggies; cuisine: American; cuisine: American Comfort; protein: Beef; protein: Short Ribs</t>
  </si>
  <si>
    <t>https://www.cookunity.com/meals/ny-slow-short-rib</t>
  </si>
  <si>
    <t>Fine Dining; High Protein; Localized Pick; Low Sodium; Peanut Free; Soy Free</t>
  </si>
  <si>
    <t>Slow Braised Short Ribs</t>
  </si>
  <si>
    <t>diet: High Sugar; diet: High Sodium; diet: High Protein; diet: High Fat; diet: Low Carb; diet: Mid Calorie; bom: Chef Specials (Extra Fee); day-part: Dinner; hot-or-cold: Eaten Hot; merchandising-filters: Fine Dining; meal-composition: Protein + Side; meal-composition: Protein + Veggies; cuisine: Latin American; cuisine: Argentinian; protein: Beef; protein: Short Ribs</t>
  </si>
  <si>
    <t>https://www.cookunity.com/meals/ny-bernstein-slow-braised-short-rib</t>
  </si>
  <si>
    <t>Fine Dining; High Protein; Low Carbs; Peanut Free</t>
  </si>
  <si>
    <t>Slow Soy-Braised Pork Shoulder with Rice</t>
  </si>
  <si>
    <t>usage: Freezer Friendly; merchandising-filters: Energy Boost; diet: High Sugar; diet: High Sodium; diet: High Protein; diet: Mid Fat; diet: Mid Carb; diet: Mid Calorie; bom: Mains with Side; bom: From the Farm; day-part: Dinner; hot-or-cold: Eaten Hot; merchandising-filters: Localized Pick; meal-composition: Protein + Side; meal-composition: Protein + Carbs + Veggies; cuisine: Asian; cuisine: Chinese; protein: Pork; protein: Pork Shoulder</t>
  </si>
  <si>
    <t>https://www.cookunity.com/meals/ny-slow-soy-pork-shoulder</t>
  </si>
  <si>
    <t>Dairy Free; Energy Boost; High Protein; Localized Pick; Tree Nut Free</t>
  </si>
  <si>
    <t>Smoked Tilapia &amp; Farro</t>
  </si>
  <si>
    <t>usage: Freezer Friendly; diet: Pescatarian; day-part: Dinner; hot-or-cold: Eaten Hot; bom: From the Sea; bom: Mains with Side; merchandising-filters: PD Support; meal-composition: Protein + Side; meal-composition: Protein + Carbs + Veggies; cuisine: Latin American; cuisine: Mexican; protein: Fish; protein: Tilapia; merchandising-filters: Wellness FLEX; merchandising-filters: MTM - Post-cancer; merchandising-filters: MTM - Cancer; merchandising-filters: MTM - Diabetes; merchandising-filters: MTM - Heart; merchandising-filters: GLP-1; merchandising-filters: Energy Boost; merchandising-filters: Wellness; diet: Mid Sugar; diet: Low Sodium; diet: High Protein; diet: Mid Fat; diet: Mid Carb; diet: Low Calorie; diet: No Added Sugar</t>
  </si>
  <si>
    <t>https://www.cookunity.com/meals/ny-garcia-smoked-tilapia-with-elote-cream%2C-farro-and-green-beans</t>
  </si>
  <si>
    <t>Energy Boost; GLP-1; High Protein; Less Than 600 calories; Low Sodium; MTM - Cancer; MTM - Diabetes; MTM - Heart; MTM - Post-cancer; PD Support; Soy Free; Tree Nut Free; Wellness; Wellness FLEX</t>
  </si>
  <si>
    <t>Smoky Brown Sugar Chicken</t>
  </si>
  <si>
    <t>diet: High Sugar; diet: High Sodium; diet: High Protein; diet: High Fat; diet: Mid Carb; diet: High Calorie; bom: Mains with Side; bom: From the Farm; hot-or-cold: Eaten Hot; day-part: Dinner; usage: Freezer Friendly; meal-composition: Protein + Side; meal-composition: Protein + Carbs; cuisine: American; cuisine: American Comfort; protein: Poultry; protein: Chicken Thigh; merchandising-filters: PD Support; merchandising-filters: Localized Pick</t>
  </si>
  <si>
    <t>https://www.cookunity.com/meals/ny-samuelsson-smoky-brown-sugar-chicken</t>
  </si>
  <si>
    <t>High Protein; Localized Pick; PD Support; Peanut Free</t>
  </si>
  <si>
    <t>Smoky Chicken Chili</t>
  </si>
  <si>
    <t>All Meals; GLP-1 balanced; Poultry; Less than 600 calories; Gluten free</t>
  </si>
  <si>
    <t>diet: Mediterranean; merchandising-filters: MTM - Post-cancer; merchandising-filters: GLP-1; merchandising-filters: Energy Boost; merchandising-filters: Wellness; diet: Mid Sugar; diet: Mid Sodium; diet: Mid Fat; diet: Mid Carb; diet: High Protein; diet: Low Calorie; protein: Ground Chicken; protein: Poultry; cuisine: Modern American; cuisine: American; meal-composition: Protein + Carbs + Veggies; meal-composition: Protein + Side; hot-or-cold: Eaten Hot; bom: From the Farm; bom: Mains with Side; day-part: Dinner; taste: Spicy; usage: Freezer Friendly</t>
  </si>
  <si>
    <t>https://www.cookunity.com/meals/ny-cantave-chicken-chili</t>
  </si>
  <si>
    <t>Energy Boost; GLP-1; Gluten Free; High Protein; Less Than 600 calories; MTM - Post-cancer; Peanut Free; Soy Free; Spicy; Wellness</t>
  </si>
  <si>
    <t>Smoky Chorizo Fettuccine</t>
  </si>
  <si>
    <t>merchandising-filters: Wellness; diet: Mid Sugar; diet: Mid Sodium; diet: Mid Protein; diet: High Fat; diet: High Carb; diet: Mid Calorie; diet: No Added Sugar; usage: Freezer Friendly; hot-or-cold: Eaten Hot; day-part: Dinner; bom: Pizza &amp; Pasta; meal-composition: Pasta; meal-composition: Regular; cuisine: Latin American; cuisine: Argentinian; protein: Pork; protein: Pork Sausage</t>
  </si>
  <si>
    <t>https://www.cookunity.com/meals/ny-stewed-chorizo-fettuccine</t>
  </si>
  <si>
    <t>Peanut Free; Soy Free; Wellness</t>
  </si>
  <si>
    <t>Smoky Shrimp-Andouille Jambalaya</t>
  </si>
  <si>
    <t>meal-composition: One-Pot; meal-composition: Paella; cuisine: American; cuisine: Cajun/Creole; season: Fall; diet: Mid Sugar; diet: High Sodium; diet: Mid Protein; diet: Mid Fat; diet: High Carb; diet: Mid Calorie; merchandising-labels: Family-Style; day-part: Dinner; bom: Chef Specials (Extra Fee); hot-or-cold: Eaten Hot; protein: Shellfish / Mollusk; protein: Shrimp</t>
  </si>
  <si>
    <t>https://www.cookunity.com/meals/ny-nawab-large-format---shrimp-and-smoked-andouille-sausage-jambalaya--ny---5</t>
  </si>
  <si>
    <t>Southern Soul Gumbo</t>
  </si>
  <si>
    <t>diet: High Sodium; diet: Mid Protein; diet: Mid Fat; diet: Mid Carb; diet: Low Sugar; diet: Low Calorie; protein: Shrimp; protein: Shellfish / Mollusk; meal-composition: Protein + Side; meal-composition: Protein + Carbs; taste: Spicy; hot-or-cold: Eaten Hot; day-part: Dinner; bom: Mains with Side; bom: From the Sea; cuisine: American; cuisine: Cajun/Creole</t>
  </si>
  <si>
    <t>https://www.cookunity.com/meals/ny-nawab-southern-soul-gumbo</t>
  </si>
  <si>
    <t>Less Than 600 calories; Low Sugar; Peanut Free; Spicy</t>
  </si>
  <si>
    <t>Southwest Chilli</t>
  </si>
  <si>
    <t>merchandising-filters: Energy Boost; diet: Mid Sugar; diet: Mid Sodium; diet: Mid Protein; diet: High Fat; diet: Mid Carb; diet: Mid Calorie; cuisine: Modern American; cuisine: American; protein: Ground Beef; protein: Beef; meal-composition: Stew/Chili; meal-composition: One-Pot; usage: Freezer Friendly; bom: Mains with Side; bom: From the Farm; taste: Spicy; day-part: Dinner; hot-or-cold: Eaten Cold</t>
  </si>
  <si>
    <t>https://www.cookunity.com/meals/southwest-chili</t>
  </si>
  <si>
    <t>Energy Boost; Gluten Free; Peanut Free; Soy Free; Spicy</t>
  </si>
  <si>
    <t>Soy-Ginger Salmon with Noodles</t>
  </si>
  <si>
    <t>diet: High Sugar; diet: High Sodium; diet: High Protein; diet: High Fat; diet: Mid Carb; diet: Mid Calorie; bom: Salads, Bowls &amp; Stir Fries; diet: Pescatarian; day-part: Dinner; hot-or-cold: Eaten Hot; meal-composition: Protein + Side; meal-composition: Protein + Carbs; cuisine: Asian; cuisine: Thai; protein: Fish; protein: Salmon</t>
  </si>
  <si>
    <t>https://www.cookunity.com/meals/ny-thaimee-salmon-wonton</t>
  </si>
  <si>
    <t>Spaghetti with Four-Meat Polpette</t>
  </si>
  <si>
    <t>merchandising-filters: Energy Boost; diet: Mid Sugar; diet: High Sodium; diet: High Protein; diet: Mid Fat; diet: High Carb; diet: Mid Calorie; bom: Pizza &amp; Pasta; cuisine: European; day-part: Dinner; hot-or-cold: Eaten Hot; protein: Pork; protein: Ground Pork; cuisine: Italian; taste: Spicy; meal-composition: Regular; meal-composition: Pasta</t>
  </si>
  <si>
    <t>https://www.cookunity.com/meals/ny-luongo-spaghetti-with-four-meat-polpette</t>
  </si>
  <si>
    <t>Spiced Winter Squash &amp; Chestnut Soup</t>
  </si>
  <si>
    <t>season: Winter; diet: Plant-Based; diet: Vegan; diet: Vegetarian; diet: Mid Sugar; diet: High Sodium; diet: Low Protein; diet: High Fat; diet: Mid Carb; diet: Low Calorie; cuisine: French; cuisine: European; meal-composition: One-Pot; meal-composition: Soup; protein: No Protein; hot-or-cold: Eaten Hot; bom: Soup &amp; Stews; merchandising-filters: Green Eating; day-part: Dinner</t>
  </si>
  <si>
    <t>https://www.cookunity.com/meals/ny-cantave-spiced-winter-squash-and-chestnut-soup</t>
  </si>
  <si>
    <t>Contains Tree Nut; Dairy Free; Gluten Free; Green Eating; Less Than 600 calories; Vegan; Vegetarian</t>
  </si>
  <si>
    <t>Spicy Beef Vindaloo</t>
  </si>
  <si>
    <t>merchandising-filters: Energy Boost; merchandising-filters: Wellness; diet: Mid Sugar; diet: Mid Sodium; diet: High Protein; diet: Mid Fat; diet: High Carb; diet: Mid Calorie; cuisine: Indian; cuisine: Asian; meal-composition: Curry; meal-composition: One-Pot; bom: From the Farm; bom: Mains with Side; day-part: Dinner; taste: Spicy; hot-or-cold: Eaten Hot; usage: Freezer Friendly; protein: Beef Chuck; protein: Beef</t>
  </si>
  <si>
    <t>https://www.cookunity.com/meals/ny-nawab-spicy-beef-vindaloo</t>
  </si>
  <si>
    <t>Energy Boost; High Protein; Spicy; Tree Nut Free; Wellness</t>
  </si>
  <si>
    <t>Spicy Chicken Tenders</t>
  </si>
  <si>
    <t>diet: Mid Sugar; diet: High Sodium; diet: High Protein; diet: High Fat; diet: Mid Carb; diet: High Calorie; merchandising-filters: Chef Marketing Collections; usage: Freezer Friendly; bom: Mains with Side; bom: From the Farm; taste: Spicy; day-part: Dinner; hot-or-cold: Eaten Hot; meal-composition: Protein + Side; meal-composition: Protein + Carbs; cuisine: American; cuisine: American Comfort; protein: Poultry; protein: Chicken Breast</t>
  </si>
  <si>
    <t>https://www.cookunity.com/meals/ny-spicy-chicken-tenders</t>
  </si>
  <si>
    <t>Chef Marketing Collections; High Protein; Spicy; Tree Nut Free</t>
  </si>
  <si>
    <t>Spicy Chili-Garlic Noodles</t>
  </si>
  <si>
    <t>diet: Mid Sugar; diet: High Sodium; diet: High Protein; diet: High Fat; diet: High Carb; diet: Mid Calorie; cuisine: Chinese; cuisine: Asian; taste: Spicy; hot-or-cold: Eaten Hot; bom: Pizza &amp; Pasta; merchandising-labels: 🎬Binging with Babish; meal-composition: Pasta; meal-composition: Regular; protein: Pork; protein: Ground Pork; merchandising-filters: B2B Babish Meals; merchandising-filters: Localized Pick</t>
  </si>
  <si>
    <t>https://www.cookunity.com/meals/ny---spicy-chili-garlic-noodles</t>
  </si>
  <si>
    <t>B2B Babish Meals; Contains Peanut; Dairy Free; High Protein; Localized Pick; Spicy</t>
  </si>
  <si>
    <t>Spicy Drunken Noodle-Style Linguine with Shrimp</t>
  </si>
  <si>
    <t>merchandising-filters: Energy Boost; diet: Mid Sugar; diet: High Sodium; diet: High Protein; diet: Mid Fat; diet: High Carb; diet: Mid Calorie; hot-or-cold: Eaten Hot; bom: Pizza &amp; Pasta; taste: Spicy; day-part: Dinner; diet: Pescatarian; meal-composition: Pasta; meal-composition: Regular; cuisine: Asian; cuisine: Thai; protein: Shellfish / Mollusk; protein: Shrimp; merchandising-filters: Localized Pick</t>
  </si>
  <si>
    <t>https://www.cookunity.com/meals/ny-thaimee-spicy-linguini-%E2%80%9Cpad-kee-mao%E2%80%9D-shrimp</t>
  </si>
  <si>
    <t>Spicy Gochujang Tofu Rice Bowl</t>
  </si>
  <si>
    <t>diet: High Sugar; diet: High Sodium; diet: Mid Protein; diet: Mid Fat; diet: High Carb; diet: Mid Calorie; cuisine: Korean; cuisine: Asian; merchandising-filters: Localized Pick; merchandising-filters: Great for Lunch; protein: Tofu; protein: Plant-Based Protein; meal-composition: Grain/Pasta/Carb-Based Bowl; meal-composition: Bowl; day-part: Lunch; day-part: Dinner; bom: Salads, Bowls &amp; Stir Fries; hot-or-cold: Eaten Hot; hot-or-cold: Eaten Cold; taste: Spicy; diet: Vegetarian; diet: Vegan; diet: Plant-Based</t>
  </si>
  <si>
    <t>https://www.cookunity.com/meals/ny-kim-crunchy-bowl</t>
  </si>
  <si>
    <t>Dairy Free; Great for Lunch; Localized Pick; Peanut Free; Spicy; Vegan; Vegetarian</t>
  </si>
  <si>
    <t>Spicy Grilled Chicken</t>
  </si>
  <si>
    <t>day-part: Dinner; bom: Mains with Side; hot-or-cold: Eaten Hot; usage: Fast Heating; taste: Spicy; diet: Mid Sugar; diet: High Sodium; diet: High Protein; diet: High Fat; diet: Mid Carb; diet: Mid Calorie; diet: No Added Sugar; meal-composition: Protein + Carbs; meal-composition: Protein + Side; cuisine: Caribbean; cuisine: Cuban; protein: Poultry; protein: Chicken Breast</t>
  </si>
  <si>
    <t>https://www.cookunity.com/meals/ny-cuban-spicy-grilled-chicken-breast</t>
  </si>
  <si>
    <t>Spicy Jerk Grilled Chicken &amp; Callaloo</t>
  </si>
  <si>
    <t>meal-composition: Protein + Side; meal-composition: Protein + Carbs + Veggies; cuisine: Caribbean; cuisine: Jamaican; protein: Poultry; protein: Chicken Thigh; diet: High Sugar; diet: High Sodium; diet: High Protein; diet: High Fat; diet: Mid Carb; diet: Mid Calorie; day-part: Dinner; taste: Spicy; bom: From the Farm; bom: Mains with Side; hot-or-cold: Eaten Hot</t>
  </si>
  <si>
    <t>https://www.cookunity.com/meals/ny-massiah-jerk-chicken-callaloo</t>
  </si>
  <si>
    <t>Spicy Lamb Rigatoni Bolognese</t>
  </si>
  <si>
    <t>diet: Mid Sugar; diet: High Sodium; diet: High Protein; diet: High Fat; diet: High Carb; diet: Mid Calorie; cuisine: Modern American; cuisine: American; meal-composition: Pasta; meal-composition: Regular; protein: Lamb; protein: Ground Lamb; taste: Spicy; day-part: Dinner; hot-or-cold: Eaten Hot; bom: Pizza &amp; Pasta; usage: Freezer Friendly</t>
  </si>
  <si>
    <t>https://www.cookunity.com/meals/ny-samuelsson-lamb-bolognese%2C-spicy-tomato%2C-rigatoni%2C-collard-greens%2C-whipped-ricotta</t>
  </si>
  <si>
    <t>High Protein; Peanut Free; Soy Free; Spicy</t>
  </si>
  <si>
    <t>Spicy Mexican Huevos Rancheros</t>
  </si>
  <si>
    <t>All Meals; GLP-1 balanced; Vegetarian; Less than 600 calories; Gluten free; Dairy free; Low sodium</t>
  </si>
  <si>
    <t>merchandising-filters: Wellness FLEX; diet: No Added Sugar; merchandising-filters: MTM - Post-cancer; merchandising-filters: MTM - Cancer; merchandising-filters: MTM - Heart; merchandising-filters: MTM - Diabetes; merchandising-filters: GLP-1; merchandising-filters: Energy Boost; merchandising-filters: Wellness; diet: High Sugar; diet: Mid Fat; diet: Mid Carb; diet: Low Sodium; diet: High Protein; diet: Low Calorie; protein: Eggs; protein: Eggs/Dairy; cuisine: Mexican; cuisine: Latin American; meal-composition: Taco; meal-composition: Handheld; taste: Spicy; merchandising-filters: Great for Lunch; usage: No Utensils Required; hot-or-cold: Eaten Hot; bom: Tortilla; season: Summer; day-part: Dinner; day-part: Lunch; diet: Plant-Based; diet: Vegetarian</t>
  </si>
  <si>
    <t>https://www.cookunity.com/meals/ny-stark-mexican-huevos-rancheros-with-chipotle-salsa</t>
  </si>
  <si>
    <t>Dairy Free; Energy Boost; GLP-1; Gluten Free; Great for Lunch; High Protein; Less Than 600 calories; Low Sodium; MTM - Cancer; MTM - Diabetes; MTM - Heart; MTM - Post-cancer; Soy Free; Spicy; Tree Nut Free; Vegetarian; Wellness; Wellness FLEX</t>
  </si>
  <si>
    <t>Spicy Peanut Noodles</t>
  </si>
  <si>
    <t>All Meals</t>
  </si>
  <si>
    <t>diet: High Sugar; diet: High Sodium; diet: Mid Protein; diet: High Fat; diet: High Carb; diet: Mid Calorie; cuisine: Modern American; cuisine: Korean; cuisine: American; cuisine: Asian; meal-composition: Pasta; meal-composition: Regular; protein: No Protein; usage: Fast Heating; taste: Spicy; merchandising-filters: PD Support; hot-or-cold: Eaten Hot; day-part: Dinner; bom: Mains with Side</t>
  </si>
  <si>
    <t>https://www.cookunity.com/meals/ny-samuelsson-peanut-spaghetti-noodles</t>
  </si>
  <si>
    <t>Contains Peanut; PD Support; Spicy</t>
  </si>
  <si>
    <t>Spicy Rigatoni alla Vodka</t>
  </si>
  <si>
    <t>bom: Pizza &amp; Pasta; day-part: Dinner; merchandising-filters: Green Eating; hot-or-cold: Eaten Hot; merchandising-labels: Low Emissions; diet: Mid Calorie; diet: High Carb; diet: Mid Fat; diet: Mid Protein; diet: Low Sodium; diet: Mid Sugar; merchandising-filters: Wellness; diet: No Added Sugar; diet: Plant-Based; diet: Vegetarian; diet: Mediterranean; meal-composition: Pasta; meal-composition: Regular; cuisine: European; cuisine: Italian; protein: No Protein</t>
  </si>
  <si>
    <t>https://www.cookunity.com/meals/ny-rigatoni-alla-vodka</t>
  </si>
  <si>
    <t>Green Eating; Low Sodium; Soy Free; Tree Nut Free; Vegetarian; Wellness</t>
  </si>
  <si>
    <t>Spicy Shrimp Suya</t>
  </si>
  <si>
    <t>diet: No Added Sugar; diet: High Sugar; diet: High Sodium; diet: High Fat; diet: Mid Protein; diet: Mid Carb; diet: Low Calorie; day-part: Lunch; day-part: Dinner; season: Summer; bom: Mains with Side; hot-or-cold: Eaten Hot; usage: Fast Heating; merchandising-filters: Great for Lunch; cuisine: West African; cuisine: African; protein: Shellfish / Mollusk; protein: Shrimp; meal-composition: Protein + Side; meal-composition: Protein + Veggies; taste: Spicy</t>
  </si>
  <si>
    <t>https://www.cookunity.com/meals/ny-thiam-spicy-shrimp-suya</t>
  </si>
  <si>
    <t>Dairy Free; Gluten Free; Great for Lunch; Less Than 600 calories; Peanut Free; Soy Free; Spicy</t>
  </si>
  <si>
    <t>Spicy Vegan Coconut Curry</t>
  </si>
  <si>
    <t>merchandising-filters: Wellness; diet: High Sugar; diet: Mid Sodium; diet: Low Protein; diet: High Fat; diet: High Carb; diet: Mid Calorie; cuisine: Thai; cuisine: Asian; diet: Plant-Based; diet: Vegan; diet: Vegetarian; taste: Spicy; day-part: Dinner; bom: Mains with Side; bom: From the Earth; hot-or-cold: Eaten Hot; meal-composition: One-Pot; meal-composition: Curry; protein: No Protein</t>
  </si>
  <si>
    <t>https://www.cookunity.com/meals/ny-sweet-potato-curry</t>
  </si>
  <si>
    <t>Dairy Free; Gluten Free; Peanut Free; Spicy; Vegan; Vegetarian; Wellness</t>
  </si>
  <si>
    <t>Spicy Vegan Mushroom Enchilada</t>
  </si>
  <si>
    <t>All Meals; Vegan; Gluten free; Dairy free</t>
  </si>
  <si>
    <t>diet: No Added Sugar; diet: High Sodium; diet: High Fat; diet: High Carb; diet: Mid Protein; diet: Mid Sugar; diet: Mid Calorie; protein: Plant-Based Protein; protein: Legumes; cuisine: Mexican; cuisine: Latin American; meal-composition: Enchiladas; meal-composition: Baked; taste: Spicy; merchandising-filters: PD Support; hot-or-cold: Eaten Hot; bom: Tortilla; day-part: Dinner; diet: Plant-Based; diet: Vegan</t>
  </si>
  <si>
    <t>https://www.cookunity.com/meals/ny-nawab-mushroom-%26-potato-enchiladas-with-creamy-poblano-sauce</t>
  </si>
  <si>
    <t>Dairy Free; Gluten Free; PD Support; Peanut Free; Spicy; Vegan</t>
  </si>
  <si>
    <t>Spicy Vegan Sweet Potato Enchiladas</t>
  </si>
  <si>
    <t>diet: No Added Sugar; merchandising-filters: Wellness; diet: High Sugar; diet: High Carb; diet: Mid Protein; diet: Mid Sodium; diet: Mid Fat; diet: Mid Calorie; diet: Plant-Based; diet: Vegan; diet: Vegetarian; day-part: Dinner; bom: Mains with Side; hot-or-cold: Eaten Hot; taste: Spicy; cuisine: Tex Mex; cuisine: American; meal-composition: Enchiladas; meal-composition: Baked; protein: Legumes; protein: Plant-Based Protein</t>
  </si>
  <si>
    <t>https://www.cookunity.com/meals/ny-stark-spicy-sweet-potato-and-black-bean-enchiladas</t>
  </si>
  <si>
    <t>Spinach &amp; Ricotta Stuffed Shells</t>
  </si>
  <si>
    <t>diet: Mid Sugar; diet: High Sodium; diet: Mid Protein; diet: High Fat; diet: Mid Carb; diet: Low Calorie; merchandising-labels: Low Emissions; day-part: Dinner; diet: Vegetarian; diet: Plant-Based; bom: Pizza &amp; Pasta; hot-or-cold: Eaten Hot; meal-composition: Pasta; meal-composition: Stuffed; cuisine: European; cuisine: Italian; protein: Eggs/Dairy; protein: Cheese</t>
  </si>
  <si>
    <t>https://www.cookunity.com/meals/ny-agrazal-spinach-%26-ricotta-stuffed-shells</t>
  </si>
  <si>
    <t>Less Than 600 calories; Peanut Free; Soy Free; Vegetarian</t>
  </si>
  <si>
    <t>Spinach and Cheese Enchiladas Suizas</t>
  </si>
  <si>
    <t>meal-composition: Baked; meal-composition: Enchiladas; cuisine: Latin American; cuisine: Mexican; protein: Eggs/Dairy; protein: Cheese; merchandising-filters: Wellness; diet: Mid Sugar; diet: High Sodium; diet: Mid Protein; diet: High Fat; diet: Mid Carb; diet: Low Calorie; diet: No Added Sugar; hot-or-cold: Eaten Hot; bom: Tortilla; diet: Vegetarian; diet: Plant-Based; day-part: Dinner; taste: Spicy</t>
  </si>
  <si>
    <t>https://www.cookunity.com/meals/ny-stark-spinach-enchiladas</t>
  </si>
  <si>
    <t>Gluten Free; Less Than 600 calories; Peanut Free; Soy Free; Spicy; Vegetarian; Wellness</t>
  </si>
  <si>
    <t>Spinach Fettuccine Alfredo</t>
  </si>
  <si>
    <t>diet: Mid Sugar; diet: High Sodium; diet: Mid Protein; diet: High Fat; diet: High Carb; diet: High Calorie; diet: No Added Sugar; cuisine: American Comfort; cuisine: American; protein: Fable; protein: Plant-Based Protein; meal-composition: Regular; meal-composition: Pasta; diet: Plant-Based; diet: Vegetarian; merchandising-labels: Low Emissions; day-part: Dinner; bom: Pizza &amp; Pasta; hot-or-cold: Eaten Hot; usage: Fast Heating</t>
  </si>
  <si>
    <t>https://www.cookunity.com/meals/ny-sreenivas-spinach-fettuccine-alfredo</t>
  </si>
  <si>
    <t>Peanut Free; Soy Free; Vegetarian</t>
  </si>
  <si>
    <t>Sri Lankan Lobster Curry</t>
  </si>
  <si>
    <t>All Meals; Less than 600 calories; Gluten free; Dairy free</t>
  </si>
  <si>
    <t>diet: Low Sugar; diet: Mid Sodium; diet: Mid Protein; diet: Mid Fat; diet: Mid Carb; diet: Low Calorie; diet: No Added Sugar; cuisine: Indian; day-part: Dinner; merchandising-filters: Fine Dining; diet: Pescatarian; bom: Chef Specials (Extra Fee); hot-or-cold: Eaten Hot; protein: Lobster; protein: Shellfish / Mollusk; meal-composition: Curry; meal-composition: One-Pot</t>
  </si>
  <si>
    <t>https://www.cookunity.com/meals/ny-sampath-sri-lankan-lobster-curry</t>
  </si>
  <si>
    <t>Dairy Free; Fine Dining; Gluten Free; Less Than 600 calories; Low Sugar; Peanut Free; Soy Free</t>
  </si>
  <si>
    <t>Sumac-Roasted Salmon</t>
  </si>
  <si>
    <t>All Meals; GLP-1 balanced; Seafood; Less than 600 calories; Low carbs; Gluten free; Low sodium; Keto diet</t>
  </si>
  <si>
    <t>merchandising-filters: MTM - Cancer; merchandising-filters: GLP-1; merchandising-filters: Wellness; diet: Mid Sugar; diet: Mid Fat; diet: Low Sodium; diet: High Protein; diet: Keto; diet: Low Carb; diet: Low Calorie; meal-composition: Protein + Side; meal-composition: Protein + Carbs + Veggies; cuisine: Middle Eastern; cuisine: Lebanese; protein: Fish; protein: Salmon; bom: Mains with Side; bom: From the Sea; hot-or-cold: Eaten Hot; day-part: Dinner; merchandising-filters: PD Support; diet: Pescatarian; diet: Mediterranean</t>
  </si>
  <si>
    <t>https://www.cookunity.com/meals/ny-nassif-sumac-everything-roasted-salmon-plate</t>
  </si>
  <si>
    <t>GLP-1; Gluten Free; High Protein; Keto Diet; Less Than 600 calories; Low Carbs; Low Sodium; MTM - Cancer; PD Support; Peanut Free; Soy Free; Wellness</t>
  </si>
  <si>
    <t>Summer Harvest Minestrone</t>
  </si>
  <si>
    <t>All Meals; Vegetarian; Vegan; Less than 600 calories; Low carbs; Dairy free</t>
  </si>
  <si>
    <t>diet: Mid Sugar; diet: High Sodium; diet: Low Protein; diet: Low Fat; diet: Low Carb; diet: Low Calorie; diet: No Added Sugar; cuisine: Italian; cuisine: European; meal-composition: One-Pot; meal-composition: Soup; protein: Plant-Based Protein; protein: Legumes; bom: Soup &amp; Stews; season: Summer; day-part: Dinner; merchandising-labels: Low Emissions; merchandising-labels: Clean Line; merchandising-filters: Great for Lunch; merchandising-filters: Green Eating; hot-or-cold: Eaten Hot; diet: Plant-Based; diet: Vegan; diet: Vegetarian</t>
  </si>
  <si>
    <t>https://www.cookunity.com/meals/ny-summer-harvest-minestrone</t>
  </si>
  <si>
    <t>Dairy Free; Great for Lunch; Green Eating; Less Than 600 calories; Low Carbs; Low Fat; Peanut Free; Soy Free; Vegan; Vegetarian</t>
  </si>
  <si>
    <t>Summer Vegetable Naan Pizza</t>
  </si>
  <si>
    <t>diet: Vegetarian; diet: Plant-Based; diet: Mid Calorie; diet: High Carb; diet: High Fat; diet: Mid Protein; diet: High Sodium; diet: Low Sugar; diet: No Added Sugar; day-part: Dinner; season: Summer; bom: Pizza &amp; Pasta; hot-or-cold: Eaten Hot; merchandising-filters: Great for Lunch; meal-composition: Baked; meal-composition: Pizza/Flatbread; cuisine: European; cuisine: Italian; protein: Eggs/Dairy; protein: Cheese</t>
  </si>
  <si>
    <t>https://www.cookunity.com/meals/ny-delucie-summer-vegetable-pizza</t>
  </si>
  <si>
    <t>Great for Lunch; Low Sugar; Peanut Free; Vegetarian</t>
  </si>
  <si>
    <t>Sun-Dried Tomato &amp; Goat Cheese Pasta Salad</t>
  </si>
  <si>
    <t>diet: No Added Sugar; diet: High Sodium; diet: High Fat; diet: Mid Protein; diet: Mid Carb; diet: Mid Calorie; diet: Low Sugar; meal-composition: Bowl; meal-composition: Grain/Pasta/Carb-Based Bowl; protein: No Protein; hot-or-cold: Eaten Cold; day-part: Dinner; day-part: Lunch; diet: Mediterranean; diet: Vegetarian; diet: Plant-Based; bom: Salads, Bowls &amp; Stir Fries; merchandising-labels: Low Emissions; merchandising-filters: Chef Marketing Collections; merchandising-filters: Great for Lunch; merchandising-filters: Green Eating; season: Summer; cuisine: European; cuisine: Spanish</t>
  </si>
  <si>
    <t>https://www.cookunity.com/meals/ny-bengochea-pasta-salad</t>
  </si>
  <si>
    <t>Chef Marketing Collections; Great for Lunch; Green Eating; Low Sugar; Soy Free; Tree Nut Free; Vegetarian</t>
  </si>
  <si>
    <t>Swai Nanban (Miyazaki Fried Fish) Rice Bowl</t>
  </si>
  <si>
    <t>merchandising-filters: Energy Boost; diet: Mid Sugar; diet: High Sodium; diet: High Protein; diet: High Fat; diet: High Carb; diet: Mid Calorie; cuisine: Japanese; cuisine: Asian; diet: Pescatarian; bom: Mains with Side; hot-or-cold: Eaten Hot; usage: Fast Heating; day-part: Dinner; meal-composition: Bowl; meal-composition: Grain/Pasta/Carb-Based Bowl; protein: Fish; protein: Swai</t>
  </si>
  <si>
    <t>https://www.cookunity.com/meals/ny-ding-swai-fish-nanban-(miyazaki-style-fried-fish)-rice-bowl</t>
  </si>
  <si>
    <t>Swedish Meatballs</t>
  </si>
  <si>
    <t>meal-composition: Protein + Side; meal-composition: Protein + Carbs; cuisine: European; cuisine: Swedish; merchandising-filters: Energy Boost; diet: Mid Sugar; diet: High Sodium; diet: High Protein; diet: High Fat; diet: High Carb; diet: Mid Calorie; merchandising-filters: PD Support; bom: Mains with Side; bom: From the Farm; day-part: Dinner; hot-or-cold: Eaten Hot; protein: Beef; protein: Ground Beef</t>
  </si>
  <si>
    <t>https://www.cookunity.com/meals/ny-evans-swedish-meatballs</t>
  </si>
  <si>
    <t>Energy Boost; High Protein; PD Support; Peanut Free</t>
  </si>
  <si>
    <t>Tandoori Chicken Namaste Bowl</t>
  </si>
  <si>
    <t>merchandising-filters: MTM - Post-cancer; merchandising-filters: MTM - Cancer; merchandising-filters: MTM - Diabetes; merchandising-filters: MTM - Heart; merchandising-filters: GLP-1; merchandising-filters: Energy Boost; merchandising-filters: Wellness; diet: Mid Sugar; diet: Mid Sodium; diet: High Protein; diet: High Fat; diet: Mid Carb; diet: Low Calorie; diet: No Added Sugar; cuisine: Indian; cuisine: Asian; meal-composition: Bowl; meal-composition: Grain/Pasta/Carb-Based Bowl; protein: Poultry; protein: Chicken Thigh; day-part: Dinner; day-part: Lunch; bom: Salads, Bowls &amp; Stir Fries; hot-or-cold: Eaten Cold; usage: Freezer Friendly; merchandising-filters: Great for Lunch</t>
  </si>
  <si>
    <t>https://www.cookunity.com/meals/ny-sampath-tandoori-chicken-namaste-bowl</t>
  </si>
  <si>
    <t>Energy Boost; GLP-1; Gluten Free; Great for Lunch; High Protein; Less Than 600 calories; MTM - Cancer; MTM - Diabetes; MTM - Heart; MTM - Post-cancer; Tree Nut Free; Wellness</t>
  </si>
  <si>
    <t>Tarragon-Roasted Chicken &amp; Barley Bowl</t>
  </si>
  <si>
    <t>merchandising-filters: MTM - Post-cancer; merchandising-filters: MTM - Cancer; merchandising-filters: GLP-1; merchandising-filters: Energy Boost; merchandising-filters: Wellness; diet: Low Sugar; diet: Mid Sodium; diet: High Protein; diet: Mid Fat; diet: Mid Carb; diet: Low Calorie; diet: No Added Sugar; bom: Salads, Bowls &amp; Stir Fries; hot-or-cold: Eaten Hot; day-part: Lunch; day-part: Dinner; meal-composition: Bowl; meal-composition: Grain/Pasta/Carb-Based Bowl; cuisine: European; cuisine: Mediterranean; protein: Poultry; protein: Chicken Breast</t>
  </si>
  <si>
    <t>https://www.cookunity.com/meals/ny-perez-roasted-tarragon-chicken-bowl</t>
  </si>
  <si>
    <t>Contains Tree Nut; Dairy Free; Energy Boost; GLP-1; High Protein; Less Than 600 calories; Low Sugar; MTM - Cancer; MTM - Post-cancer; Soy Free; Wellness</t>
  </si>
  <si>
    <t>Thai Butternut Red Curry</t>
  </si>
  <si>
    <t>merchandising-filters: Wellness; diet: High Sugar; diet: Mid Sodium; diet: Low Protein; diet: Mid Fat; diet: High Carb; diet: Low Calorie; day-part: Dinner; bom: From the Earth; bom: Mains with Side; hot-or-cold: Eaten Hot; taste: Spicy; diet: Plant-Based; diet: Vegan; diet: Vegetarian; meal-composition: One-Pot; meal-composition: Curry; cuisine: Asian; cuisine: Thai; protein: No Protein</t>
  </si>
  <si>
    <t>https://www.cookunity.com/meals/ny-thai-butternut-red-curry</t>
  </si>
  <si>
    <t>Dairy Free; Gluten Free; Less Than 600 calories; Peanut Free; Spicy; Vegan; Vegetarian; Wellness</t>
  </si>
  <si>
    <t>Thai Glass Noodles with Shrimp</t>
  </si>
  <si>
    <t>day-part: Dinner; day-part: Lunch; bom: Salads, Bowls &amp; Stir Fries; hot-or-cold: Eaten Hot; usage: Freezer Friendly; diet: Mid Sugar; diet: High Sodium; diet: Mid Protein; diet: High Fat; diet: High Carb; diet: Mid Calorie; meal-composition: Sauteed; meal-composition: Noodle-Based Stir Fry; cuisine: Asian; cuisine: Thai; protein: Shellfish / Mollusk; protein: Shrimp</t>
  </si>
  <si>
    <t>https://www.cookunity.com/meals/ny-choi-thai-glass-noodles-with-shrimp</t>
  </si>
  <si>
    <t>Dairy Free; Tree Nut Free</t>
  </si>
  <si>
    <t>Thai Noodles with Spiced Pulled Chicken</t>
  </si>
  <si>
    <t>diet: High Sugar; diet: High Sodium; diet: High Protein; diet: High Fat; diet: High Carb; diet: Mid Calorie; taste: Spicy; merchandising-filters: PD Support; day-part: Dinner; bom: Pizza &amp; Pasta; hot-or-cold: Eaten Hot; usage: Freezer Friendly; meal-composition: Sauteed; meal-composition: Noodle-Based Stir Fry; cuisine: Asian; cuisine: Thai; protein: Poultry; protein: Chicken Thigh</t>
  </si>
  <si>
    <t>https://www.cookunity.com/meals/ny-admony-mediterranean-chicken-pad-thai-v2</t>
  </si>
  <si>
    <t>Contains Peanut; High Protein; PD Support; Spicy</t>
  </si>
  <si>
    <t>Thai Red Beef and Butternut Squash Curry</t>
  </si>
  <si>
    <t>usage: Freezer Friendly; taste: Spicy; day-part: Dinner; bom: From the Farm; bom: Mains with Side; hot-or-cold: Eaten Hot; diet: Mid Calorie; diet: Mid Carb; diet: High Fat; diet: Mid Protein; diet: High Sodium; diet: Mid Sugar; diet: No Added Sugar; meal-composition: One-Pot; meal-composition: Curry; cuisine: Asian; cuisine: Thai; protein: Beef; protein: Ground Beef</t>
  </si>
  <si>
    <t>https://www.cookunity.com/meals/ny-thai-red-beef-curry</t>
  </si>
  <si>
    <t>Dairy Free; Gluten Free; Peanut Free; Soy Free; Spicy</t>
  </si>
  <si>
    <t>Tilapia Tenders</t>
  </si>
  <si>
    <t>diet: Low Sugar; diet: High Sodium; diet: High Protein; diet: High Fat; diet: Mid Carb; diet: High Calorie; diet: Pescatarian; day-part: Dinner; bom: Mains with Side; hot-or-cold: Eaten Hot; usage: Fast Heating; merchandising-filters: Localized Pick; merchandising-filters: PD Support; meal-composition: Protein + Side; meal-composition: Protein + Carbs; cuisine: American; cuisine: Modern American; protein: Fish; protein: Tilapia</t>
  </si>
  <si>
    <t>https://www.cookunity.com/meals/ny-perez-tilapia-tenders</t>
  </si>
  <si>
    <t>High Protein; Localized Pick; Low Sugar; PD Support; Tree Nut Free</t>
  </si>
  <si>
    <t>Tofu &amp; Spinach Saag</t>
  </si>
  <si>
    <t>All Meals; GLP-1 balanced; Vegan; Less than 600 calories; Gluten free; Dairy free; Low sodium</t>
  </si>
  <si>
    <t>diet: Plant-Based; diet: Vegan; merchandising-filters: Wellness FLEX; diet: No Added Sugar; merchandising-filters: MTM - Post-cancer; merchandising-filters: MTM - Cancer; merchandising-filters: MTM - Heart; merchandising-filters: MTM - Diabetes; merchandising-filters: GLP-1; merchandising-filters: Wellness; diet: Mid Protein; diet: Mid Sugar; diet: Mid Fat; diet: Mid Carb; diet: Low Sodium; diet: Low Calorie; protein: Plant-Based Protein; protein: Tofu; cuisine: Indian; cuisine: Asian; meal-composition: Protein + Carbs + Veggies; meal-composition: Protein + Side; usage: Fast Heating; hot-or-cold: Eaten Hot; bom: Mains with Side; season: Winter; day-part: Dinner</t>
  </si>
  <si>
    <t>https://www.cookunity.com/meals/ny-admony-velvety-spinach-saag-with-smoky-eggplant</t>
  </si>
  <si>
    <t>Dairy Free; GLP-1; Gluten Free; Less Than 600 calories; Low Sodium; MTM - Cancer; MTM - Diabetes; MTM - Heart; MTM - Post-cancer; Peanut Free; Vegan; Wellness; Wellness FLEX</t>
  </si>
  <si>
    <t>Tofu Green Curry</t>
  </si>
  <si>
    <t>All Meals; Vegetarian; Gluten free; Dairy free; Low sodium</t>
  </si>
  <si>
    <t>diet: High Sugar; diet: Low Sodium; diet: Mid Protein; diet: High Fat; diet: Mid Carb; diet: Mid Calorie; cuisine: Thai; cuisine: Asian; season: Spring; usage: Freezer Friendly; hot-or-cold: Eaten Hot; taste: Spicy; day-part: Dinner; bom: Mains with Side; bom: From the Earth; diet: Vegetarian; diet: Plant-Based; merchandising-filters: Chef Marketing Collections; meal-composition: One-Pot; meal-composition: Curry; protein: Plant-Based Protein; protein: Tofu</t>
  </si>
  <si>
    <t>https://www.cookunity.com/meals/ny-green-zhug-curry-tofu</t>
  </si>
  <si>
    <t>Chef Marketing Collections; Dairy Free; Gluten Free; Low Sodium; Peanut Free; Spicy; Vegetarian</t>
  </si>
  <si>
    <t>Tomato-Basil Cod</t>
  </si>
  <si>
    <t>All Meals; Seafood; Less than 600 calories; Low carbs</t>
  </si>
  <si>
    <t>merchandising-filters: Wellness; diet: Mid Sugar; diet: Mid Sodium; diet: High Protein; diet: Mid Fat; diet: Low Carb; diet: Low Calorie; diet: No Added Sugar; cuisine: Italian; cuisine: European; merchandising-filters: Virta Premium Meals; protein: Fish; protein: Cod; hot-or-cold: Eaten Hot; day-part: Dinner; bom: From the Sea; bom: Mains with Side; meal-composition: Protein + Veggies; meal-composition: Protein + Side</t>
  </si>
  <si>
    <t>https://www.cookunity.com/meals/ny-tomato-basil-cod</t>
  </si>
  <si>
    <t>High Protein; Less Than 600 calories; Low Carbs; Peanut Free; Virta Premium Meals; Wellness</t>
  </si>
  <si>
    <t>Tonkotsu Ramen &amp; Chashu Pork Belly</t>
  </si>
  <si>
    <t>diet: Mid Sugar; diet: High Sodium; diet: Mid Protein; diet: High Fat; diet: Mid Carb; diet: Mid Calorie; merchandising-filters: Great for Lunch; bom: Soup &amp; Stews; day-part: Dinner; hot-or-cold: Eaten Hot; meal-composition: One-Pot; meal-composition: Noodle Soup; cuisine: Asian; cuisine: Japanese; protein: Pork; protein: Pork Belly</t>
  </si>
  <si>
    <t>https://www.cookunity.com/meals/ny-choi-tonkotsu-ramen-%26-chashu-pork-belly</t>
  </si>
  <si>
    <t>Great for Lunch; Peanut Free</t>
  </si>
  <si>
    <t>Tri-Color Quinoa Bowl with Grilled Shrimp</t>
  </si>
  <si>
    <t>diet: Pescatarian; merchandising-filters: GLP-1; merchandising-filters: Wellness; diet: Low Sugar; diet: Low Sodium; diet: Mid Protein; diet: Mid Fat; diet: Mid Carb; diet: Low Calorie; diet: No Added Sugar; meal-composition: Grain/Pasta/Carb-Based Bowl; meal-composition: Bowl; day-part: Lunch; day-part: Dinner; season: Summer; bom: Salads, Bowls &amp; Stir Fries; hot-or-cold: Eaten Hot; hot-or-cold: Eaten Cold; merchandising-filters: Chef Marketing Collections; merchandising-filters: Great for Lunch; cuisine: American; cuisine: Modern American; protein: Shrimp; protein: Shellfish / Mollusk</t>
  </si>
  <si>
    <t>https://www.cookunity.com/meals/ny-mendez-tri-color-quinoa-bowl-with-grilled-shrimp</t>
  </si>
  <si>
    <t>Chef Marketing Collections; Dairy Free; GLP-1; Gluten Free; Great for Lunch; Less Than 600 calories; Low Sodium; Low Sugar; Soy Free; Tree Nut Free; Wellness</t>
  </si>
  <si>
    <t>Truffled Fettuccine Alfredo with Grilled Chicken</t>
  </si>
  <si>
    <t>diet: Mid Sugar; diet: High Sodium; diet: High Protein; diet: High Fat; diet: Mid Carb; diet: High Calorie; diet: No Added Sugar; cuisine: Italian; cuisine: European; meal-composition: Pasta; meal-composition: Regular; protein: Poultry; protein: Chicken Breast; bom: Pizza &amp; Pasta; day-part: Dinner; hot-or-cold: Eaten Hot</t>
  </si>
  <si>
    <t>https://www.cookunity.com/meals/ny-sreenivas-fettuccine-chicken</t>
  </si>
  <si>
    <t>Tuscan Baked Branzino</t>
  </si>
  <si>
    <t>All Meals; Seafood; Low carbs; Low sodium; Keto diet</t>
  </si>
  <si>
    <t>day-part: Lunch; day-part: Dinner; bom: Chef Specials (Extra Fee); hot-or-cold: Eaten Hot; usage: Fast Heating; merchandising-filters: Fine Dining; merchandising-filters: Great for Lunch; meal-composition: Protein + Side; meal-composition: Protein + Veggies; cuisine: European; cuisine: Italian; protein: Fish; protein: Sea Bass; merchandising-filters: MTM - Cancer; diet: Keto; merchandising-filters: Wellness; diet: Mid Sugar; diet: Low Sodium; diet: Mid Protein; diet: High Fat; diet: Low Carb; diet: Mid Calorie; diet: No Added Sugar; diet: Mediterranean</t>
  </si>
  <si>
    <t>https://www.cookunity.com/meals/ny-luongo-fillet-of-mediterranean-branzino-livornese-style</t>
  </si>
  <si>
    <t>Fine Dining; Great for Lunch; Keto Diet; Low Carbs; Low Sodium; MTM - Cancer; Peanut Free; Wellness</t>
  </si>
  <si>
    <t>Tuscan Kale Harvest Stew</t>
  </si>
  <si>
    <t>All Meals; Vegan; Less than 600 calories; Low carbs; Gluten free; Dairy free</t>
  </si>
  <si>
    <t>diet: Plant-Based; diet: Vegan; diet: Mediterranean; diet: Mid Sugar; diet: High Sodium; diet: Low Protein; diet: Mid Fat; diet: Low Carb; diet: Low Calorie; diet: No Added Sugar; cuisine: Italian; cuisine: European; hot-or-cold: Eaten Hot; merchandising-filters: Great for Lunch; season: Winter; season: Fall; day-part: Dinner; bom: Soup &amp; Stews; merchandising-labels: Low Emissions; meal-composition: One-Pot; meal-composition: Stew/Chili; protein: Plant-Based Protein; protein: Legumes</t>
  </si>
  <si>
    <t>https://www.cookunity.com/meals/ny-vegan-tuscan-kale-and-white-bean-stew</t>
  </si>
  <si>
    <t>Dairy Free; Gluten Free; Great for Lunch; Less Than 600 calories; Low Carbs; Peanut Free; Vegan</t>
  </si>
  <si>
    <t>Tuscan Ribollita Soup</t>
  </si>
  <si>
    <t>All Meals; Beef; Less than 600 calories; Low carbs</t>
  </si>
  <si>
    <t>merchandising-filters: Great for Lunch; day-part: Dinner; day-part: Lunch; bom: Soup &amp; Stews; hot-or-cold: Eaten Hot; diet: No Added Sugar; diet: Low Calorie; diet: Low Carb; diet: Low Fat; diet: Mid Protein; diet: Mid Sodium; diet: Low Sugar; merchandising-filters: Wellness; meal-composition: One-Pot; meal-composition: Soup; cuisine: European; cuisine: Italian; protein: Pork; protein: Pork Belly</t>
  </si>
  <si>
    <t>https://www.cookunity.com/meals/ny-luongo-ribollita-soup</t>
  </si>
  <si>
    <t>Great for Lunch; Less Than 600 calories; Low Carbs; Low Fat; Low Sugar; Peanut Free; Wellness</t>
  </si>
  <si>
    <t>Vegan 'Chorizo' and Black Bean Chili</t>
  </si>
  <si>
    <t>merchandising-filters: MTM - Post-cancer; merchandising-filters: Wellness; diet: High Sugar; diet: High Sodium; diet: Mid Protein; diet: Mid Fat; diet: Mid Carb; diet: Low Calorie; diet: No Added Sugar; cuisine: Tex Mex; cuisine: American; usage: Freezer Friendly; day-part: Dinner; bom: Soup &amp; Stews; hot-or-cold: Eaten Hot; season: Winter; season: Fall; taste: Spicy; merchandising-filters: Great for Lunch; diet: Vegetarian; diet: Vegan; diet: Plant-Based; protein: Mock Meat; protein: Plant-Based Protein; meal-composition: Stew/Chili; meal-composition: One-Pot</t>
  </si>
  <si>
    <t>https://www.cookunity.com/meals/ny-stark-vegan-chili</t>
  </si>
  <si>
    <t>Dairy Free; Gluten Free; Great for Lunch; Less Than 600 calories; MTM - Post-cancer; Peanut Free; Spicy; Vegan; Vegetarian; Wellness</t>
  </si>
  <si>
    <t>Vegan Al Pastor Tacos with Beyond Meat</t>
  </si>
  <si>
    <t>diet: No Added Sugar; diet: High Sugar; diet: High Sodium; diet: High Fat; diet: High Carb; diet: Mid Calorie; diet: High Protein; protein: Mock Meat; protein: Plant-Based Protein; cuisine: Mexican; cuisine: Latin American; meal-composition: Taco; meal-composition: Handheld; usage: Freezer Friendly; day-part: Lunch; bom: Tortilla; hot-or-cold: Eaten Hot; day-part: Dinner; merchandising-filters: Great for Lunch; taste: Spicy; diet: Vegetarian; diet: Vegan; diet: Plant-Based</t>
  </si>
  <si>
    <t>https://www.cookunity.com/meals/ny-al-pastor-beyond-tacos</t>
  </si>
  <si>
    <t>Dairy Free; Gluten Free; Great for Lunch; High Protein; Peanut Free; Spicy; Vegan; Vegetarian</t>
  </si>
  <si>
    <t>Vegan Pasta alla Vodka</t>
  </si>
  <si>
    <t>All Meals; Vegan; Dairy free; Low sodium</t>
  </si>
  <si>
    <t>merchandising-filters: Wellness; diet: High Sugar; diet: Low Sodium; diet: Mid Protein; diet: Mid Fat; diet: High Carb; diet: Mid Calorie; cuisine: Italian; cuisine: European; meal-composition: Pasta; meal-composition: Regular; protein: No Protein; merchandising-filters: Localized Pick; hot-or-cold: Eaten Hot; diet: Plant-Based; diet: Vegan; bom: Pizza &amp; Pasta; day-part: Dinner</t>
  </si>
  <si>
    <t>https://www.cookunity.com/meals/ny-peck-plant-based-pasta-alla-vodka.</t>
  </si>
  <si>
    <t>Contains Tree Nut; Dairy Free; Localized Pick; Low Sodium; Soy Free; Vegan; Wellness</t>
  </si>
  <si>
    <t>Vegan Sweet Potato &amp; Eggplant Red Curry</t>
  </si>
  <si>
    <t>diet: High Sugar; diet: High Sodium; diet: Mid Protein; diet: High Fat; diet: High Carb; diet: Mid Calorie; taste: Spicy; usage: Freezer Friendly; hot-or-cold: Eaten Hot; bom: Mains with Side; bom: From the Earth; day-part: Dinner; meal-composition: One-Pot; meal-composition: Curry; cuisine: Asian; cuisine: Thai; protein: No Protein; diet: Plant-Based; diet: Vegan; diet: Vegetarian</t>
  </si>
  <si>
    <t>https://www.cookunity.com/meals/ny-thaimee-sweet-potato-%26-eggplant-red-curry</t>
  </si>
  <si>
    <t>Dairy Free; Gluten Free; Peanut Free; Spicy; Vegan; Vegetarian</t>
  </si>
  <si>
    <t>Veggie Risotto</t>
  </si>
  <si>
    <t>All Meals; Vegetarian; Less than 600 calories; Gluten free; Low sodium</t>
  </si>
  <si>
    <t>diet: High Sugar; diet: High Carb; diet: Mid Protein; diet: Low Fat; diet: Low Sodium; diet: Low Calorie; cuisine: Italian; cuisine: European; usage: Freezer Friendly; merchandising-labels: 🧸 Kids Meal; merchandising-filters: Family Favorites; day-part: Dinner; hot-or-cold: Eaten Hot; bom: Kid's Meals; diet: Vegetarian; diet: Plant-Based; protein: Legumes; protein: Plant-Based Protein; meal-composition: Risotto; meal-composition: One-Pot</t>
  </si>
  <si>
    <t>https://www.cookunity.com/meals/ny-by-john-delucie-risotto-with-veggies</t>
  </si>
  <si>
    <t>Family Favorites; Gluten Free; Less Than 600 calories; Low Fat; Low Sodium; Peanut Free; Soy Free; Vegetarian</t>
  </si>
  <si>
    <t>Vietnamese Shrimp Vermicelli</t>
  </si>
  <si>
    <t>meal-composition: Bowl; meal-composition: Grain/Pasta/Carb-Based Bowl; cuisine: Asian; cuisine: Vietnamese; protein: Shellfish / Mollusk; protein: Shrimp; usage: Freezer Friendly; diet: High Sugar; diet: High Sodium; diet: Mid Protein; diet: Low Fat; diet: Mid Carb; diet: Low Calorie; bom: Salads, Bowls &amp; Stir Fries; hot-or-cold: Eaten Hot; day-part: Lunch; day-part: Dinner; diet: Pescatarian; merchandising-filters: Great for Lunch; merchandising-filters: PD Support; merchandising-filters: Localized Pick</t>
  </si>
  <si>
    <t>https://www.cookunity.com/meals/ny-ding-vietnamese-shrimp-vermicelli</t>
  </si>
  <si>
    <t>Great for Lunch; Less Than 600 calories; Localized Pick; Low Fat; PD Support; Tree Nut Free</t>
  </si>
  <si>
    <t>Village Chop with Grilled Chicken Breast</t>
  </si>
  <si>
    <t>All Meals; Poultry; Low carbs; Gluten free; Low sodium; Keto diet</t>
  </si>
  <si>
    <t>merchandising-filters: Great for Lunch; merchandising-filters: MTM - Cancer; diet: Keto; merchandising-filters: Wellness; diet: Mid Sugar; diet: Low Sodium; diet: High Protein; diet: High Fat; diet: Low Carb; diet: Mid Calorie; diet: No Added Sugar; cuisine: Mediterranean; cuisine: European; bom: Salads, Bowls &amp; Stir Fries; hot-or-cold: Eaten Cold; day-part: Lunch; day-part: Dinner; meal-composition: Protein + Side; meal-composition: Protein + Carbs + Veggies; protein: Poultry; protein: Chicken Breast; season: Summer</t>
  </si>
  <si>
    <t>https://www.cookunity.com/meals/ny-bernstein-greek-salad-with-grilled-chicken-breast</t>
  </si>
  <si>
    <t>Gluten Free; Great for Lunch; High Protein; Keto Diet; Low Carbs; Low Sodium; MTM - Cancer; Soy Free; Tree Nut Free; Wellness</t>
  </si>
  <si>
    <t>Walnut Miso-Crusted Salmon</t>
  </si>
  <si>
    <t>All Meals; Seafood; Low carbs; Dairy free</t>
  </si>
  <si>
    <t>bom: From the Sea; bom: Mains with Side; diet: Pescatarian; day-part: Dinner; hot-or-cold: Eaten Hot; diet: Mid Calorie; diet: Low Carb; diet: High Fat; diet: High Protein; diet: High Sodium; diet: Mid Sugar; diet: No Added Sugar; meal-composition: Protein + Side; meal-composition: Protein + Veggies; cuisine: Asian; cuisine: Japanese; protein: Fish; protein: Salmon</t>
  </si>
  <si>
    <t>https://www.cookunity.com/meals/ny-walnut-crusted-salmon</t>
  </si>
  <si>
    <t>Contains Tree Nut; Dairy Free; High Protein; Low Carbs</t>
  </si>
  <si>
    <t>White Bean Korma Curry</t>
  </si>
  <si>
    <t>diet: No Added Sugar; diet: High Sodium; diet: Mid Protein; diet: Mid Sugar; diet: Mid Fat; diet: Mid Carb; diet: Low Calorie; day-part: Dinner; bom: Mains with Side; bom: From the Earth; hot-or-cold: Eaten Hot; merchandising-labels: Low Emissions; merchandising-filters: Localized Pick; protein: Legumes; protein: Plant-Based Protein; meal-composition: Curry; meal-composition: One-Pot; cuisine: Asian; cuisine: Indian; diet: Vegetarian; diet: Vegan; diet: Plant-Based</t>
  </si>
  <si>
    <t>https://www.cookunity.com/meals/ny-peck-white-bean-korma-curry</t>
  </si>
  <si>
    <t>Contains Tree Nut; Dairy Free; Gluten Free; Less Than 600 calories; Localized Pick; Soy Free; Vegan; Vegetarian</t>
  </si>
  <si>
    <t>White Truffle-Mushroom Pasta</t>
  </si>
  <si>
    <t>diet: Plant-Based; diet: Vegetarian; diet: Mediterranean; diet: Mid Sugar; diet: Low Sodium; diet: Mid Protein; diet: High Fat; diet: High Carb; diet: Mid Calorie; diet: No Added Sugar; cuisine: Italian; cuisine: European; merchandising-labels: Low Emissions; day-part: Dinner; merchandising-filters: Green Eating; bom: Pizza &amp; Pasta; hot-or-cold: Eaten Hot; meal-composition: Pasta; meal-composition: Regular; protein: Eggs/Dairy; protein: Cheese</t>
  </si>
  <si>
    <t>https://www.cookunity.com/meals/ny-forest-truffled-penne-rigate</t>
  </si>
  <si>
    <t>Contains Tree Nut; Green Eating; Low Sodium; Soy Free; Vegetarian</t>
  </si>
  <si>
    <t>White Vegetable Lasagna</t>
  </si>
  <si>
    <t>meal-composition: Pasta; meal-composition: Baked/Gratin; cuisine: European; cuisine: Italian; protein: Eggs/Dairy; protein: Cheese; merchandising-filters: MTM - Cancer; merchandising-filters: Wellness; diet: High Sugar; diet: Mid Sodium; diet: Mid Protein; diet: Mid Fat; diet: Mid Carb; diet: Low Calorie; diet: Plant-Based; diet: Vegetarian; day-part: Dinner; bom: Pizza &amp; Pasta; hot-or-cold: Eaten Hot</t>
  </si>
  <si>
    <t>https://www.cookunity.com/meals/ny-delucie-white-vegetable-lasagna</t>
  </si>
  <si>
    <t>Less Than 600 calories; MTM - Cancer; Soy Free; Tree Nut Free; Vegetarian; Wellness</t>
  </si>
  <si>
    <t>Wild-Caught Salmon Moilee</t>
  </si>
  <si>
    <t>All Meals; Seafood; Gluten free; Dairy free; Low sodium</t>
  </si>
  <si>
    <t>merchandising-filters: MTM - Cancer; merchandising-filters: Energy Boost; merchandising-filters: Wellness; diet: Low Sugar; diet: Low Sodium; diet: High Protein; diet: High Fat; diet: Mid Carb; diet: Mid Calorie; diet: No Added Sugar; merchandising-labels: Clean Line; diet: Pescatarian; diet: Mediterranean; meal-composition: Protein + Carbs + Veggies; meal-composition: Protein + Side; cuisine: Asian; cuisine: Indian; protein: Salmon; protein: Fish; day-part: Dinner; bom: Chef Specials (Extra Fee); hot-or-cold: Eaten Hot; usage: Fast Heating; merchandising-filters: Clean Eating; merchandising-filters: PD Support</t>
  </si>
  <si>
    <t>https://www.cookunity.com/meals/ny-sampath-wild-caught-salmon-moilee</t>
  </si>
  <si>
    <t>Clean Eating; Dairy Free; Energy Boost; Gluten Free; High Protein; Low Sodium; Low Sugar; MTM - Cancer; PD Support; Peanut Free; Soy Free; Wellness</t>
  </si>
  <si>
    <t>Yassa Grilled Chicken</t>
  </si>
  <si>
    <t>diet: High Sugar; diet: High Sodium; diet: High Fat; diet: High Carb; diet: Mid Calorie; diet: High Protein; cuisine: West African; cuisine: African; usage: Freezer Friendly; hot-or-cold: Eaten Hot; bom: Mains with Side; bom: From the Farm; taste: Spicy; day-part: Dinner; meal-composition: Protein + Side; meal-composition: Protein + Carbs; protein: Poultry; protein: Chicken Thigh</t>
  </si>
  <si>
    <t>https://www.cookunity.com/meals/ny-chicken-yassa-plantains</t>
  </si>
  <si>
    <t>Dairy Free; Gluten Free; High Protein; Spicy; Tree Nut Free</t>
  </si>
  <si>
    <t>Yemenite Roasted Cauliflower with Chickpea Peppers</t>
  </si>
  <si>
    <t>diet: High Sodium; diet: High Carb; diet: Mid Protein; diet: Mid Sugar; diet: Mid Fat; diet: Low Calorie; bom: Mains with Side; day-part: Dinner; taste: Spicy; hot-or-cold: Eaten Hot; diet: Plant-Based; diet: Vegetarian; season: Fall; meal-composition: One-Pot; meal-composition: Stew/Chili; cuisine: Middle Eastern; cuisine: Israeli; protein: Plant-Based Protein; protein: Legumes</t>
  </si>
  <si>
    <t>https://www.cookunity.com/meals/ny-solomonov-yemenite-roasted-cauliflower</t>
  </si>
  <si>
    <t>Less Than 600 calories; Peanut Free; Soy Free; Spicy; Vegetarian</t>
  </si>
  <si>
    <t>Yuzu-Jalapeño Roasted Arctic Char</t>
  </si>
  <si>
    <t>merchandising-filters: Energy Boost; diet: High Sugar; diet: High Sodium; diet: High Protein; diet: High Fat; diet: Mid Carb; diet: Low Calorie; diet: No Added Sugar; cuisine: Japanese; cuisine: Asian; hot-or-cold: Eaten Hot; bom: Chef Specials (Extra Fee); merchandising-filters: Fine Dining; taste: Spicy; day-part: Dinner; usage: Freezer Friendly; meal-composition: Protein + Side; meal-composition: Protein + Carbs + Veggies; protein: Fish; protein: Arctic Char; diet: Pescatarian</t>
  </si>
  <si>
    <t>https://www.cookunity.com/meals/ny-nichols-yuzu-jalapeno-artic-char</t>
  </si>
  <si>
    <t>Energy Boost; Fine Dining; High Protein; Less Than 600 calories; Peanut Free; Spicy</t>
  </si>
  <si>
    <t>Category Audit &amp; Coverage</t>
  </si>
  <si>
    <t>Coverage claim: all 351 rendered East Coast public sample-menu results and their attached taxonomy were enumerated. The Virginia ZIP-specific weekly ordering catalog remains unverified because authentication is required.</t>
  </si>
  <si>
    <t>Public meals</t>
  </si>
  <si>
    <t>Taxonomy categories</t>
  </si>
  <si>
    <t>Surface</t>
  </si>
  <si>
    <t>Category Type</t>
  </si>
  <si>
    <t>Category</t>
  </si>
  <si>
    <t>Meal Count</t>
  </si>
  <si>
    <t>Fully Expanded / Enumerated</t>
  </si>
  <si>
    <t>Nutrition-Verified Meals</t>
  </si>
  <si>
    <t>Coverage Note</t>
  </si>
  <si>
    <t>Source</t>
  </si>
  <si>
    <t>Access boundary</t>
  </si>
  <si>
    <t>ZIP-specific ordering catalog</t>
  </si>
  <si>
    <t>Virginia ZIP 22102</t>
  </si>
  <si>
    <t>No — account required</t>
  </si>
  <si>
    <t>CookUnity redirected the ZIP-specific ordering flow to account creation after preferences and plan selection; weekly Virginia availability could not be verified.</t>
  </si>
  <si>
    <t>https://www.cookunity.com/our-menu</t>
  </si>
  <si>
    <t>Rendered menu filter</t>
  </si>
  <si>
    <t>All</t>
  </si>
  <si>
    <t>Yes — View More exhausted</t>
  </si>
  <si>
    <t>Count reproduced from all 351 East Coast API records using the same public filter logic.</t>
  </si>
  <si>
    <t>specificationsDetail</t>
  </si>
  <si>
    <t>GLP-1 balanced</t>
  </si>
  <si>
    <t>meatType</t>
  </si>
  <si>
    <t>Seafood</t>
  </si>
  <si>
    <t>Vegetarian</t>
  </si>
  <si>
    <t>Beef</t>
  </si>
  <si>
    <t>Poultry</t>
  </si>
  <si>
    <t>Vegan</t>
  </si>
  <si>
    <t>Less than 600 calories</t>
  </si>
  <si>
    <t>Low carbs</t>
  </si>
  <si>
    <t>Gluten free</t>
  </si>
  <si>
    <t>Dairy free</t>
  </si>
  <si>
    <t>Low sodium</t>
  </si>
  <si>
    <t>Keto diet</t>
  </si>
  <si>
    <t>Paleo</t>
  </si>
  <si>
    <t>Embedded meal taxonomy</t>
  </si>
  <si>
    <t>Bom</t>
  </si>
  <si>
    <t>Chef Specials (Extra Fee)</t>
  </si>
  <si>
    <t>Yes — enumerated from all records</t>
  </si>
  <si>
    <t>Membership derived from the category/tag metadata attached to every public East Coast menu record. Internal BOM price IDs are excluded.</t>
  </si>
  <si>
    <t>https://www.cookunity.com/api/sample-menu-by-store?storeId=1</t>
  </si>
  <si>
    <t>From the Earth</t>
  </si>
  <si>
    <t>From the Farm</t>
  </si>
  <si>
    <t>From the Sea</t>
  </si>
  <si>
    <t>Kid's Meals</t>
  </si>
  <si>
    <t>Mains with Side</t>
  </si>
  <si>
    <t>Pizza &amp; Pasta</t>
  </si>
  <si>
    <t>Salads, Bowls &amp; Stir Fries</t>
  </si>
  <si>
    <t>Sandwiches, Wraps &amp; Burgers</t>
  </si>
  <si>
    <t>Sides</t>
  </si>
  <si>
    <t>Snacks &amp; Appetizers</t>
  </si>
  <si>
    <t>Soup &amp; Stews</t>
  </si>
  <si>
    <t>Tortilla</t>
  </si>
  <si>
    <t>Cuisine</t>
  </si>
  <si>
    <t>African</t>
  </si>
  <si>
    <t>American</t>
  </si>
  <si>
    <t>American Comfort</t>
  </si>
  <si>
    <t>Argentinian</t>
  </si>
  <si>
    <t>Asian</t>
  </si>
  <si>
    <t>Brazilian</t>
  </si>
  <si>
    <t>Cajun/Creole</t>
  </si>
  <si>
    <t>Caribbean</t>
  </si>
  <si>
    <t>Chinese</t>
  </si>
  <si>
    <t>Cuban</t>
  </si>
  <si>
    <t>East African</t>
  </si>
  <si>
    <t>Eastern European</t>
  </si>
  <si>
    <t>European</t>
  </si>
  <si>
    <t>French</t>
  </si>
  <si>
    <t>Greek</t>
  </si>
  <si>
    <t>Haitian</t>
  </si>
  <si>
    <t>Indian</t>
  </si>
  <si>
    <t>Indonesian</t>
  </si>
  <si>
    <t>Irish</t>
  </si>
  <si>
    <t>Israeli</t>
  </si>
  <si>
    <t>Italian</t>
  </si>
  <si>
    <t>Jamaican</t>
  </si>
  <si>
    <t>Japanese</t>
  </si>
  <si>
    <t>Korean</t>
  </si>
  <si>
    <t>Laotian</t>
  </si>
  <si>
    <t>Latin American</t>
  </si>
  <si>
    <t>Lebanese</t>
  </si>
  <si>
    <t>Malaysian</t>
  </si>
  <si>
    <t>Mediterranean</t>
  </si>
  <si>
    <t>Mexican</t>
  </si>
  <si>
    <t>Middle Eastern</t>
  </si>
  <si>
    <t>Modern American</t>
  </si>
  <si>
    <t>Moroccan</t>
  </si>
  <si>
    <t>North African</t>
  </si>
  <si>
    <t>Peruvian</t>
  </si>
  <si>
    <t>Puerto Rican</t>
  </si>
  <si>
    <t>South African</t>
  </si>
  <si>
    <t>Southern American</t>
  </si>
  <si>
    <t>Spanish</t>
  </si>
  <si>
    <t>Swedish</t>
  </si>
  <si>
    <t>Tex Mex</t>
  </si>
  <si>
    <t>Thai</t>
  </si>
  <si>
    <t>Turkish</t>
  </si>
  <si>
    <t>Vietnamese</t>
  </si>
  <si>
    <t>West African</t>
  </si>
  <si>
    <t>Day Part</t>
  </si>
  <si>
    <t>Dinner</t>
  </si>
  <si>
    <t>Lunch</t>
  </si>
  <si>
    <t>Diet</t>
  </si>
  <si>
    <t>High Calorie</t>
  </si>
  <si>
    <t>High Carb</t>
  </si>
  <si>
    <t>High Fat</t>
  </si>
  <si>
    <t>High Protein</t>
  </si>
  <si>
    <t>High Sodium</t>
  </si>
  <si>
    <t>High Sugar</t>
  </si>
  <si>
    <t>Keto</t>
  </si>
  <si>
    <t>Low Calorie</t>
  </si>
  <si>
    <t>Low Carb</t>
  </si>
  <si>
    <t>Low Fat</t>
  </si>
  <si>
    <t>Low Protein</t>
  </si>
  <si>
    <t>Low Sodium</t>
  </si>
  <si>
    <t>Low Sugar</t>
  </si>
  <si>
    <t>Mid Calorie</t>
  </si>
  <si>
    <t>Mid Carb</t>
  </si>
  <si>
    <t>Mid Fat</t>
  </si>
  <si>
    <t>Mid Protein</t>
  </si>
  <si>
    <t>Mid Sodium</t>
  </si>
  <si>
    <t>Mid Sugar</t>
  </si>
  <si>
    <t>No Added Sugar</t>
  </si>
  <si>
    <t>Pescatarian</t>
  </si>
  <si>
    <t>Plant-Based</t>
  </si>
  <si>
    <t>Hot Or Cold</t>
  </si>
  <si>
    <t>Eaten Cold</t>
  </si>
  <si>
    <t>Eaten Hot</t>
  </si>
  <si>
    <t>Meal Composition</t>
  </si>
  <si>
    <t>Baked</t>
  </si>
  <si>
    <t>Baked Goods</t>
  </si>
  <si>
    <t>Baked/Gratin</t>
  </si>
  <si>
    <t>Bowl</t>
  </si>
  <si>
    <t>Burger</t>
  </si>
  <si>
    <t>Burrito</t>
  </si>
  <si>
    <t>Casserole</t>
  </si>
  <si>
    <t>Cooked Veggie-Based Bowl</t>
  </si>
  <si>
    <t>Curry</t>
  </si>
  <si>
    <t>Dumplings</t>
  </si>
  <si>
    <t>Empanada</t>
  </si>
  <si>
    <t>Enchiladas</t>
  </si>
  <si>
    <t>Frittata</t>
  </si>
  <si>
    <t>Grain Bowl</t>
  </si>
  <si>
    <t>Grain-Based Stir Fry</t>
  </si>
  <si>
    <t>Grain/Pasta/Carb-Based Bowl</t>
  </si>
  <si>
    <t>Ground-Based</t>
  </si>
  <si>
    <t>Handheld</t>
  </si>
  <si>
    <t>Muffin</t>
  </si>
  <si>
    <t>Noodle Soup</t>
  </si>
  <si>
    <t>Noodle-Based Stir Fry</t>
  </si>
  <si>
    <t>One-Pot</t>
  </si>
  <si>
    <t>Paella</t>
  </si>
  <si>
    <t>Pasta</t>
  </si>
  <si>
    <t>Pie/Pot Pie</t>
  </si>
  <si>
    <t>Pizza/Flatbread</t>
  </si>
  <si>
    <t>Protein + Carbs</t>
  </si>
  <si>
    <t>Protein + Carbs + Veggies</t>
  </si>
  <si>
    <t>Protein + Side</t>
  </si>
  <si>
    <t>Protein + Veggies</t>
  </si>
  <si>
    <t>Protein Only</t>
  </si>
  <si>
    <t>Quesadilla</t>
  </si>
  <si>
    <t>Raw Veggie-Based Bowl</t>
  </si>
  <si>
    <t>Regular</t>
  </si>
  <si>
    <t>Risotto</t>
  </si>
  <si>
    <t>Sandwich</t>
  </si>
  <si>
    <t>Sauteed</t>
  </si>
  <si>
    <t>Shepherd's Pie</t>
  </si>
  <si>
    <t>Soup</t>
  </si>
  <si>
    <t>Stew/Chili</t>
  </si>
  <si>
    <t>Stuffed</t>
  </si>
  <si>
    <t>Stuffed/Wrapped Not Handheld</t>
  </si>
  <si>
    <t>Taco</t>
  </si>
  <si>
    <t>Wrap</t>
  </si>
  <si>
    <t>Merchandising Filters</t>
  </si>
  <si>
    <t>B2B Babish Meals</t>
  </si>
  <si>
    <t>Chef Marketing Collections</t>
  </si>
  <si>
    <t>Clean Eating</t>
  </si>
  <si>
    <t>Energy Boost</t>
  </si>
  <si>
    <t>Family Favorites</t>
  </si>
  <si>
    <t>Fine Dining</t>
  </si>
  <si>
    <t>Fitness Fuel</t>
  </si>
  <si>
    <t>GLP-1</t>
  </si>
  <si>
    <t>Great for Lunch</t>
  </si>
  <si>
    <t>Green Eating</t>
  </si>
  <si>
    <t>Localized Pick</t>
  </si>
  <si>
    <t>MTM - Cancer</t>
  </si>
  <si>
    <t>MTM - Diabetes</t>
  </si>
  <si>
    <t>MTM - Heart</t>
  </si>
  <si>
    <t>MTM - Post-cancer</t>
  </si>
  <si>
    <t>PD Support</t>
  </si>
  <si>
    <t>Virta Premium Meals</t>
  </si>
  <si>
    <t>Wellness</t>
  </si>
  <si>
    <t>Wellness FLEX</t>
  </si>
  <si>
    <t>Merchandising Labels</t>
  </si>
  <si>
    <t>🎬Binging with Babish</t>
  </si>
  <si>
    <t>🧸 Kids Meal</t>
  </si>
  <si>
    <t>Clean Line</t>
  </si>
  <si>
    <t>Family-Style</t>
  </si>
  <si>
    <t>Grass-Fed Steak</t>
  </si>
  <si>
    <t>Low Emissions</t>
  </si>
  <si>
    <t>Protein</t>
  </si>
  <si>
    <t>Arctic Char</t>
  </si>
  <si>
    <t>Bacon</t>
  </si>
  <si>
    <t>Barramundi</t>
  </si>
  <si>
    <t>Beef Chuck</t>
  </si>
  <si>
    <t>Brisket</t>
  </si>
  <si>
    <t>Cheese</t>
  </si>
  <si>
    <t>Chicken Breast</t>
  </si>
  <si>
    <t>Chicken Thigh</t>
  </si>
  <si>
    <t>Cod</t>
  </si>
  <si>
    <t>Eggs</t>
  </si>
  <si>
    <t>Eggs/Dairy</t>
  </si>
  <si>
    <t>Fable</t>
  </si>
  <si>
    <t>Filet Mignon</t>
  </si>
  <si>
    <t>Fish</t>
  </si>
  <si>
    <t>Flank Steak</t>
  </si>
  <si>
    <t>Flat Iron Steak</t>
  </si>
  <si>
    <t>Ground Beef</t>
  </si>
  <si>
    <t>Ground Chicken</t>
  </si>
  <si>
    <t>Ground Lamb</t>
  </si>
  <si>
    <t>Ground Pork</t>
  </si>
  <si>
    <t>Ham</t>
  </si>
  <si>
    <t>Lamb</t>
  </si>
  <si>
    <t>Lamb Leg</t>
  </si>
  <si>
    <t>Legumes</t>
  </si>
  <si>
    <t>Lobster</t>
  </si>
  <si>
    <t>Mahi Mahi</t>
  </si>
  <si>
    <t>Mock Meat</t>
  </si>
  <si>
    <t>No Protein</t>
  </si>
  <si>
    <t>Plant-Based Protein</t>
  </si>
  <si>
    <t>Pork</t>
  </si>
  <si>
    <t>Pork Belly</t>
  </si>
  <si>
    <t>Pork Loin</t>
  </si>
  <si>
    <t>Pork Sausage</t>
  </si>
  <si>
    <t>Pork Shoulder</t>
  </si>
  <si>
    <t>Pork Tenderloin</t>
  </si>
  <si>
    <t>Rib Eye</t>
  </si>
  <si>
    <t>Salmon</t>
  </si>
  <si>
    <t>Sea Bass</t>
  </si>
  <si>
    <t>Shellfish / Mollusk</t>
  </si>
  <si>
    <t>Short Ribs</t>
  </si>
  <si>
    <t>Shrimp</t>
  </si>
  <si>
    <t>Sirloin Steak</t>
  </si>
  <si>
    <t>Swai</t>
  </si>
  <si>
    <t>Tilapia</t>
  </si>
  <si>
    <t>Tofu</t>
  </si>
  <si>
    <t>Season</t>
  </si>
  <si>
    <t>Fall</t>
  </si>
  <si>
    <t>Spring</t>
  </si>
  <si>
    <t>Summer</t>
  </si>
  <si>
    <t>Winter</t>
  </si>
  <si>
    <t>Taste</t>
  </si>
  <si>
    <t>Spicy</t>
  </si>
  <si>
    <t>Usage</t>
  </si>
  <si>
    <t>Fast Heating</t>
  </si>
  <si>
    <t>Freezer Friendly</t>
  </si>
  <si>
    <t>No Utensils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</si>
</sst>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name val="Carlito"/>
    </font>
    <font>
      <b/>
      <sz val="16"/>
      <color rgb="FF173F35"/>
      <name val="Arial"/>
      <family val="2"/>
    </font>
    <font>
      <i/>
      <sz val="10"/>
      <color rgb="FF5F6B66"/>
      <name val="Arial"/>
      <family val="2"/>
    </font>
    <font>
      <sz val="9"/>
      <color rgb="FF5F6B66"/>
      <name val="Arial"/>
      <family val="2"/>
    </font>
    <font>
      <sz val="9"/>
      <color rgb="FF24473E"/>
      <name val="Arial"/>
      <family val="2"/>
    </font>
    <font>
      <b/>
      <sz val="9"/>
      <color rgb="FF173F35"/>
      <name val="Arial"/>
      <family val="2"/>
    </font>
    <font>
      <b/>
      <sz val="10"/>
      <color rgb="FFFFFFFF"/>
      <name val="Arial"/>
      <family val="2"/>
    </font>
    <font>
      <sz val="9"/>
      <color rgb="FF1E2522"/>
      <name val="Arial"/>
      <family val="2"/>
    </font>
    <font>
      <b/>
      <sz val="9"/>
      <color rgb="FF7F6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3F8F5"/>
      </patternFill>
    </fill>
    <fill>
      <patternFill patternType="solid">
        <fgColor rgb="FF173F35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CCD8D1"/>
      </left>
      <right/>
      <top style="thin">
        <color rgb="FFCCD8D1"/>
      </top>
      <bottom style="thin">
        <color rgb="FFCCD8D1"/>
      </bottom>
      <diagonal/>
    </border>
    <border>
      <left/>
      <right/>
      <top style="thin">
        <color rgb="FFCCD8D1"/>
      </top>
      <bottom style="thin">
        <color rgb="FFCCD8D1"/>
      </bottom>
      <diagonal/>
    </border>
    <border>
      <left/>
      <right style="thin">
        <color rgb="FFCCD8D1"/>
      </right>
      <top style="thin">
        <color rgb="FFCCD8D1"/>
      </top>
      <bottom style="thin">
        <color rgb="FFCCD8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2" borderId="2" xfId="0" applyFont="1" applyFill="1" applyBorder="1"/>
    <xf numFmtId="0" fontId="4" fillId="2" borderId="3" xfId="0" applyFont="1" applyFill="1" applyBorder="1"/>
    <xf numFmtId="0" fontId="5" fillId="2" borderId="1" xfId="0" applyFont="1" applyFill="1" applyBorder="1"/>
    <xf numFmtId="0" fontId="5" fillId="2" borderId="2" xfId="0" applyFont="1" applyFill="1" applyBorder="1"/>
    <xf numFmtId="0" fontId="6" fillId="3" borderId="0" xfId="0" applyFont="1" applyFill="1" applyAlignment="1">
      <alignment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164" fontId="7" fillId="0" borderId="0" xfId="0" applyNumberFormat="1" applyFont="1" applyAlignment="1">
      <alignment vertical="center"/>
    </xf>
    <xf numFmtId="0" fontId="7" fillId="4" borderId="0" xfId="0" applyFont="1" applyFill="1" applyAlignment="1">
      <alignment vertical="center" wrapText="1"/>
    </xf>
    <xf numFmtId="0" fontId="7" fillId="4" borderId="0" xfId="0" applyFont="1" applyFill="1" applyAlignment="1">
      <alignment vertical="center"/>
    </xf>
    <xf numFmtId="0" fontId="8" fillId="4" borderId="0" xfId="0" applyFont="1" applyFill="1" applyAlignment="1">
      <alignment vertical="center" wrapText="1"/>
    </xf>
  </cellXfs>
  <cellStyles count="1">
    <cellStyle name="Normal" xfId="0" builtinId="0"/>
  </cellStyles>
  <dxfs count="2">
    <dxf>
      <font>
        <b/>
        <color rgb="FF9C0006"/>
      </font>
      <fill>
        <patternFill patternType="solid">
          <bgColor rgb="FFFCE8E6"/>
        </patternFill>
      </fill>
    </dxf>
    <dxf>
      <font>
        <color rgb="FF7F6000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okUnityMealsTable" displayName="CookUnityMealsTable" ref="A7:N358" totalsRowShown="0">
  <autoFilter ref="A7:N358" xr:uid="{00000000-0009-0000-0100-000001000000}"/>
  <tableColumns count="14">
    <tableColumn id="1" xr3:uid="{00000000-0010-0000-0000-000001000000}" name="Meal Name"/>
    <tableColumn id="2" xr3:uid="{00000000-0010-0000-0000-000002000000}" name="Chef"/>
    <tableColumn id="3" xr3:uid="{00000000-0010-0000-0000-000003000000}" name="Public Categories"/>
    <tableColumn id="4" xr3:uid="{00000000-0010-0000-0000-000004000000}" name="Taxonomy Tags"/>
    <tableColumn id="5" xr3:uid="{00000000-0010-0000-0000-000005000000}" name="Canonical Meal Link"/>
    <tableColumn id="6" xr3:uid="{00000000-0010-0000-0000-000006000000}" name="Calories"/>
    <tableColumn id="7" xr3:uid="{00000000-0010-0000-0000-000007000000}" name="Protein (g)"/>
    <tableColumn id="8" xr3:uid="{00000000-0010-0000-0000-000008000000}" name="Carbs (g)"/>
    <tableColumn id="9" xr3:uid="{00000000-0010-0000-0000-000009000000}" name="Fat (g)"/>
    <tableColumn id="10" xr3:uid="{00000000-0010-0000-0000-00000A000000}" name="Protein / 100 kcal"/>
    <tableColumn id="11" xr3:uid="{00000000-0010-0000-0000-00000B000000}" name="Calculated Nutrition Labels"/>
    <tableColumn id="12" xr3:uid="{00000000-0010-0000-0000-00000C000000}" name="CookUnity Labels"/>
    <tableColumn id="13" xr3:uid="{00000000-0010-0000-0000-00000D000000}" name="Public Availability"/>
    <tableColumn id="14" xr3:uid="{00000000-0010-0000-0000-00000E000000}" name="Extrac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tegoryCoverageTable" displayName="CategoryCoverageTable" ref="A7:H286" totalsRowShown="0">
  <autoFilter ref="A7:H286" xr:uid="{00000000-0009-0000-0100-000002000000}"/>
  <tableColumns count="8">
    <tableColumn id="1" xr3:uid="{00000000-0010-0000-0100-000001000000}" name="Surface"/>
    <tableColumn id="2" xr3:uid="{00000000-0010-0000-0100-000002000000}" name="Category Type"/>
    <tableColumn id="3" xr3:uid="{00000000-0010-0000-0100-000003000000}" name="Category"/>
    <tableColumn id="4" xr3:uid="{00000000-0010-0000-0100-000004000000}" name="Meal Count"/>
    <tableColumn id="5" xr3:uid="{00000000-0010-0000-0100-000005000000}" name="Fully Expanded / Enumerated"/>
    <tableColumn id="6" xr3:uid="{00000000-0010-0000-0100-000006000000}" name="Nutrition-Verified Meals"/>
    <tableColumn id="7" xr3:uid="{00000000-0010-0000-0100-000007000000}" name="Coverage Note"/>
    <tableColumn id="8" xr3:uid="{00000000-0010-0000-0100-000008000000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F35"/>
  </sheetPr>
  <dimension ref="A2:N358"/>
  <sheetViews>
    <sheetView showGridLines="0" tabSelected="1" workbookViewId="0">
      <pane xSplit="2" ySplit="7" topLeftCell="C121" activePane="bottomRight" state="frozen"/>
      <selection pane="topRight"/>
      <selection pane="bottomLeft"/>
      <selection pane="bottomRight" activeCell="D12" sqref="D12"/>
    </sheetView>
  </sheetViews>
  <sheetFormatPr baseColWidth="10" defaultColWidth="8.83203125" defaultRowHeight="14"/>
  <cols>
    <col min="1" max="1" width="31" customWidth="1"/>
    <col min="2" max="2" width="21" customWidth="1"/>
    <col min="3" max="3" width="35" customWidth="1"/>
    <col min="4" max="4" width="53" customWidth="1"/>
    <col min="5" max="5" width="50" customWidth="1"/>
    <col min="6" max="6" width="10" customWidth="1"/>
    <col min="7" max="7" width="11" customWidth="1"/>
    <col min="8" max="8" width="10" customWidth="1"/>
    <col min="9" max="9" width="9" customWidth="1"/>
    <col min="10" max="10" width="15" customWidth="1"/>
    <col min="11" max="11" width="41" customWidth="1"/>
    <col min="12" max="12" width="40" customWidth="1"/>
    <col min="13" max="13" width="28" customWidth="1"/>
    <col min="14" max="14" width="26" customWidth="1"/>
  </cols>
  <sheetData>
    <row r="2" spans="1:14" ht="26" customHeight="1">
      <c r="A2" s="1" t="s">
        <v>0</v>
      </c>
    </row>
    <row r="3" spans="1:14" ht="34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26" customHeight="1">
      <c r="A5" s="6" t="s">
        <v>3</v>
      </c>
      <c r="B5" s="4">
        <v>351</v>
      </c>
      <c r="C5" s="7" t="s">
        <v>4</v>
      </c>
      <c r="D5" s="4">
        <v>351</v>
      </c>
      <c r="E5" s="7" t="s">
        <v>5</v>
      </c>
      <c r="F5" s="4">
        <v>351</v>
      </c>
      <c r="G5" s="7" t="s">
        <v>6</v>
      </c>
      <c r="H5" s="4">
        <v>14</v>
      </c>
      <c r="I5" s="7" t="s">
        <v>7</v>
      </c>
      <c r="J5" s="4">
        <v>0</v>
      </c>
      <c r="K5" s="7" t="s">
        <v>8</v>
      </c>
      <c r="L5" s="4" t="s">
        <v>9</v>
      </c>
      <c r="M5" s="7" t="s">
        <v>10</v>
      </c>
      <c r="N5" s="5" t="s">
        <v>11</v>
      </c>
    </row>
    <row r="7" spans="1:14" ht="34" customHeight="1">
      <c r="A7" s="8" t="s">
        <v>12</v>
      </c>
      <c r="B7" s="8" t="s">
        <v>13</v>
      </c>
      <c r="C7" s="8" t="s">
        <v>14</v>
      </c>
      <c r="D7" s="8" t="s">
        <v>15</v>
      </c>
      <c r="E7" s="8" t="s">
        <v>16</v>
      </c>
      <c r="F7" s="8" t="s">
        <v>17</v>
      </c>
      <c r="G7" s="8" t="s">
        <v>18</v>
      </c>
      <c r="H7" s="8" t="s">
        <v>19</v>
      </c>
      <c r="I7" s="8" t="s">
        <v>20</v>
      </c>
      <c r="J7" s="8" t="s">
        <v>21</v>
      </c>
      <c r="K7" s="8" t="s">
        <v>22</v>
      </c>
      <c r="L7" s="8" t="s">
        <v>23</v>
      </c>
      <c r="M7" s="8" t="s">
        <v>24</v>
      </c>
      <c r="N7" s="8" t="s">
        <v>25</v>
      </c>
    </row>
    <row r="8" spans="1:14" ht="34" customHeight="1">
      <c r="A8" s="9" t="s">
        <v>26</v>
      </c>
      <c r="B8" s="9" t="s">
        <v>27</v>
      </c>
      <c r="C8" s="10" t="s">
        <v>28</v>
      </c>
      <c r="D8" s="10" t="s">
        <v>29</v>
      </c>
      <c r="E8" s="10" t="s">
        <v>30</v>
      </c>
      <c r="F8" s="11">
        <v>670</v>
      </c>
      <c r="G8" s="11">
        <v>38</v>
      </c>
      <c r="H8" s="11">
        <v>64</v>
      </c>
      <c r="I8" s="11">
        <v>31</v>
      </c>
      <c r="J8" s="11">
        <f t="shared" ref="J8:J71" si="0">IF(OR(F8="",G8=""),"",G8/F8*100)</f>
        <v>5.6716417910447765</v>
      </c>
      <c r="K8" s="10" t="str">
        <f t="shared" ref="K8:K71" si="1">IF(OR(F8="",G8="",H8="",I8=""),"n.a.",IF(F8&lt;=600,"Lower calorie; ",IF(F8&gt;=800,"Higher calorie; ","Moderate calorie; "))&amp;IF(G8/F8*100&gt;=5,"High protein density; ",IF(G8/F8*100&gt;=3.5,"Moderate protein density; ","Low protein density; "))&amp;IF(H8&lt;=30,"Low carb; ",IF(H8&gt;=70,"High carb; ","Moderate carb; "))&amp;IF(I8&lt;=20,"Low fat",IF(I8&gt;=40,"High fat","Moderate fat")))</f>
        <v>Moderate calorie; High protein density; Moderate carb; Moderate fat</v>
      </c>
      <c r="L8" s="10" t="s">
        <v>31</v>
      </c>
      <c r="M8" s="10" t="s">
        <v>32</v>
      </c>
      <c r="N8" s="10" t="s">
        <v>33</v>
      </c>
    </row>
    <row r="9" spans="1:14" ht="34" customHeight="1">
      <c r="A9" s="9" t="s">
        <v>34</v>
      </c>
      <c r="B9" s="9" t="s">
        <v>35</v>
      </c>
      <c r="C9" s="10" t="s">
        <v>36</v>
      </c>
      <c r="D9" s="10" t="s">
        <v>37</v>
      </c>
      <c r="E9" s="10" t="s">
        <v>38</v>
      </c>
      <c r="F9" s="11">
        <v>590</v>
      </c>
      <c r="G9" s="11">
        <v>52</v>
      </c>
      <c r="H9" s="11">
        <v>49</v>
      </c>
      <c r="I9" s="11">
        <v>19</v>
      </c>
      <c r="J9" s="11">
        <f t="shared" si="0"/>
        <v>8.8135593220338979</v>
      </c>
      <c r="K9" s="10" t="str">
        <f t="shared" si="1"/>
        <v>Lower calorie; High protein density; Moderate carb; Low fat</v>
      </c>
      <c r="L9" s="10" t="s">
        <v>39</v>
      </c>
      <c r="M9" s="10" t="s">
        <v>32</v>
      </c>
      <c r="N9" s="10" t="s">
        <v>33</v>
      </c>
    </row>
    <row r="10" spans="1:14" ht="34" customHeight="1">
      <c r="A10" s="9" t="s">
        <v>40</v>
      </c>
      <c r="B10" s="9" t="s">
        <v>41</v>
      </c>
      <c r="C10" s="10" t="s">
        <v>42</v>
      </c>
      <c r="D10" s="10" t="s">
        <v>43</v>
      </c>
      <c r="E10" s="10" t="s">
        <v>44</v>
      </c>
      <c r="F10" s="11">
        <v>816</v>
      </c>
      <c r="G10" s="11">
        <v>15</v>
      </c>
      <c r="H10" s="11">
        <v>110</v>
      </c>
      <c r="I10" s="11">
        <v>37.299999999999997</v>
      </c>
      <c r="J10" s="11">
        <f t="shared" si="0"/>
        <v>1.8382352941176472</v>
      </c>
      <c r="K10" s="10" t="str">
        <f t="shared" si="1"/>
        <v>Higher calorie; Low protein density; High carb; Moderate fat</v>
      </c>
      <c r="L10" s="10" t="s">
        <v>45</v>
      </c>
      <c r="M10" s="10" t="s">
        <v>32</v>
      </c>
      <c r="N10" s="10" t="s">
        <v>33</v>
      </c>
    </row>
    <row r="11" spans="1:14" ht="34" customHeight="1">
      <c r="A11" s="9" t="s">
        <v>46</v>
      </c>
      <c r="B11" s="9" t="s">
        <v>47</v>
      </c>
      <c r="C11" s="10" t="s">
        <v>48</v>
      </c>
      <c r="D11" s="10" t="s">
        <v>49</v>
      </c>
      <c r="E11" s="10" t="s">
        <v>50</v>
      </c>
      <c r="F11" s="11">
        <v>494</v>
      </c>
      <c r="G11" s="11">
        <v>44</v>
      </c>
      <c r="H11" s="11">
        <v>32</v>
      </c>
      <c r="I11" s="11">
        <v>23.6</v>
      </c>
      <c r="J11" s="11">
        <f t="shared" si="0"/>
        <v>8.9068825910931171</v>
      </c>
      <c r="K11" s="10" t="str">
        <f t="shared" si="1"/>
        <v>Lower calorie; High protein density; Moderate carb; Moderate fat</v>
      </c>
      <c r="L11" s="10" t="s">
        <v>51</v>
      </c>
      <c r="M11" s="10" t="s">
        <v>32</v>
      </c>
      <c r="N11" s="10" t="s">
        <v>33</v>
      </c>
    </row>
    <row r="12" spans="1:14" ht="34" customHeight="1">
      <c r="A12" s="9" t="s">
        <v>52</v>
      </c>
      <c r="B12" s="9" t="s">
        <v>53</v>
      </c>
      <c r="C12" s="10" t="s">
        <v>54</v>
      </c>
      <c r="D12" s="10" t="s">
        <v>55</v>
      </c>
      <c r="E12" s="10" t="s">
        <v>56</v>
      </c>
      <c r="F12" s="11">
        <v>750</v>
      </c>
      <c r="G12" s="11">
        <v>36</v>
      </c>
      <c r="H12" s="11">
        <v>57</v>
      </c>
      <c r="I12" s="11">
        <v>42</v>
      </c>
      <c r="J12" s="11">
        <f t="shared" si="0"/>
        <v>4.8</v>
      </c>
      <c r="K12" s="10" t="str">
        <f t="shared" si="1"/>
        <v>Moderate calorie; Moderate protein density; Moderate carb; High fat</v>
      </c>
      <c r="L12" s="10" t="s">
        <v>57</v>
      </c>
      <c r="M12" s="10" t="s">
        <v>32</v>
      </c>
      <c r="N12" s="10" t="s">
        <v>33</v>
      </c>
    </row>
    <row r="13" spans="1:14" ht="34" customHeight="1">
      <c r="A13" s="9" t="s">
        <v>58</v>
      </c>
      <c r="B13" s="9" t="s">
        <v>59</v>
      </c>
      <c r="C13" s="10" t="s">
        <v>60</v>
      </c>
      <c r="D13" s="10" t="s">
        <v>61</v>
      </c>
      <c r="E13" s="10" t="s">
        <v>62</v>
      </c>
      <c r="F13" s="11">
        <v>700</v>
      </c>
      <c r="G13" s="11">
        <v>47</v>
      </c>
      <c r="H13" s="11">
        <v>51</v>
      </c>
      <c r="I13" s="11">
        <v>34</v>
      </c>
      <c r="J13" s="11">
        <f t="shared" si="0"/>
        <v>6.7142857142857144</v>
      </c>
      <c r="K13" s="10" t="str">
        <f t="shared" si="1"/>
        <v>Moderate calorie; High protein density; Moderate carb; Moderate fat</v>
      </c>
      <c r="L13" s="10" t="s">
        <v>63</v>
      </c>
      <c r="M13" s="10" t="s">
        <v>32</v>
      </c>
      <c r="N13" s="10" t="s">
        <v>33</v>
      </c>
    </row>
    <row r="14" spans="1:14" ht="34" customHeight="1">
      <c r="A14" s="9" t="s">
        <v>64</v>
      </c>
      <c r="B14" s="9" t="s">
        <v>65</v>
      </c>
      <c r="C14" s="10" t="s">
        <v>66</v>
      </c>
      <c r="D14" s="10" t="s">
        <v>67</v>
      </c>
      <c r="E14" s="10" t="s">
        <v>68</v>
      </c>
      <c r="F14" s="11">
        <v>570</v>
      </c>
      <c r="G14" s="11">
        <v>50</v>
      </c>
      <c r="H14" s="11">
        <v>24</v>
      </c>
      <c r="I14" s="11">
        <v>30</v>
      </c>
      <c r="J14" s="11">
        <f t="shared" si="0"/>
        <v>8.7719298245614024</v>
      </c>
      <c r="K14" s="10" t="str">
        <f t="shared" si="1"/>
        <v>Lower calorie; High protein density; Low carb; Moderate fat</v>
      </c>
      <c r="L14" s="10" t="s">
        <v>69</v>
      </c>
      <c r="M14" s="10" t="s">
        <v>32</v>
      </c>
      <c r="N14" s="10" t="s">
        <v>33</v>
      </c>
    </row>
    <row r="15" spans="1:14" ht="34" customHeight="1">
      <c r="A15" s="9" t="s">
        <v>70</v>
      </c>
      <c r="B15" s="9" t="s">
        <v>71</v>
      </c>
      <c r="C15" s="10" t="s">
        <v>72</v>
      </c>
      <c r="D15" s="10" t="s">
        <v>73</v>
      </c>
      <c r="E15" s="10" t="s">
        <v>74</v>
      </c>
      <c r="F15" s="11">
        <v>960</v>
      </c>
      <c r="G15" s="11">
        <v>34</v>
      </c>
      <c r="H15" s="11">
        <v>59</v>
      </c>
      <c r="I15" s="11">
        <v>64</v>
      </c>
      <c r="J15" s="11">
        <f t="shared" si="0"/>
        <v>3.5416666666666665</v>
      </c>
      <c r="K15" s="10" t="str">
        <f t="shared" si="1"/>
        <v>Higher calorie; Moderate protein density; Moderate carb; High fat</v>
      </c>
      <c r="L15" s="10" t="s">
        <v>75</v>
      </c>
      <c r="M15" s="10" t="s">
        <v>32</v>
      </c>
      <c r="N15" s="10" t="s">
        <v>33</v>
      </c>
    </row>
    <row r="16" spans="1:14" ht="34" customHeight="1">
      <c r="A16" s="9" t="s">
        <v>76</v>
      </c>
      <c r="B16" s="9" t="s">
        <v>77</v>
      </c>
      <c r="C16" s="10" t="s">
        <v>78</v>
      </c>
      <c r="D16" s="10" t="s">
        <v>79</v>
      </c>
      <c r="E16" s="10" t="s">
        <v>80</v>
      </c>
      <c r="F16" s="11">
        <v>593</v>
      </c>
      <c r="G16" s="11">
        <v>30</v>
      </c>
      <c r="H16" s="11">
        <v>51</v>
      </c>
      <c r="I16" s="11">
        <v>30.7</v>
      </c>
      <c r="J16" s="11">
        <f t="shared" si="0"/>
        <v>5.0590219224283306</v>
      </c>
      <c r="K16" s="10" t="str">
        <f t="shared" si="1"/>
        <v>Lower calorie; High protein density; Moderate carb; Moderate fat</v>
      </c>
      <c r="L16" s="10" t="s">
        <v>81</v>
      </c>
      <c r="M16" s="10" t="s">
        <v>32</v>
      </c>
      <c r="N16" s="10" t="s">
        <v>33</v>
      </c>
    </row>
    <row r="17" spans="1:14" ht="34" customHeight="1">
      <c r="A17" s="9" t="s">
        <v>82</v>
      </c>
      <c r="B17" s="9" t="s">
        <v>83</v>
      </c>
      <c r="C17" s="10" t="s">
        <v>84</v>
      </c>
      <c r="D17" s="10" t="s">
        <v>85</v>
      </c>
      <c r="E17" s="10" t="s">
        <v>86</v>
      </c>
      <c r="F17" s="11">
        <v>467</v>
      </c>
      <c r="G17" s="11">
        <v>30</v>
      </c>
      <c r="H17" s="11">
        <v>16</v>
      </c>
      <c r="I17" s="11">
        <v>32</v>
      </c>
      <c r="J17" s="11">
        <f t="shared" si="0"/>
        <v>6.4239828693790146</v>
      </c>
      <c r="K17" s="10" t="str">
        <f t="shared" si="1"/>
        <v>Lower calorie; High protein density; Low carb; Moderate fat</v>
      </c>
      <c r="L17" s="10" t="s">
        <v>87</v>
      </c>
      <c r="M17" s="10" t="s">
        <v>32</v>
      </c>
      <c r="N17" s="10" t="s">
        <v>33</v>
      </c>
    </row>
    <row r="18" spans="1:14" ht="34" customHeight="1">
      <c r="A18" s="9" t="s">
        <v>88</v>
      </c>
      <c r="B18" s="9" t="s">
        <v>89</v>
      </c>
      <c r="C18" s="10" t="s">
        <v>90</v>
      </c>
      <c r="D18" s="10" t="s">
        <v>91</v>
      </c>
      <c r="E18" s="10" t="s">
        <v>92</v>
      </c>
      <c r="F18" s="11">
        <v>860</v>
      </c>
      <c r="G18" s="11">
        <v>42</v>
      </c>
      <c r="H18" s="11">
        <v>59</v>
      </c>
      <c r="I18" s="11">
        <v>53</v>
      </c>
      <c r="J18" s="11">
        <f t="shared" si="0"/>
        <v>4.8837209302325579</v>
      </c>
      <c r="K18" s="10" t="str">
        <f t="shared" si="1"/>
        <v>Higher calorie; Moderate protein density; Moderate carb; High fat</v>
      </c>
      <c r="L18" s="10" t="s">
        <v>93</v>
      </c>
      <c r="M18" s="10" t="s">
        <v>32</v>
      </c>
      <c r="N18" s="10" t="s">
        <v>33</v>
      </c>
    </row>
    <row r="19" spans="1:14" ht="34" customHeight="1">
      <c r="A19" s="9" t="s">
        <v>94</v>
      </c>
      <c r="B19" s="9" t="s">
        <v>95</v>
      </c>
      <c r="C19" s="10" t="s">
        <v>96</v>
      </c>
      <c r="D19" s="10" t="s">
        <v>97</v>
      </c>
      <c r="E19" s="10" t="s">
        <v>98</v>
      </c>
      <c r="F19" s="11">
        <v>990</v>
      </c>
      <c r="G19" s="11">
        <v>35</v>
      </c>
      <c r="H19" s="11">
        <v>91</v>
      </c>
      <c r="I19" s="11">
        <v>55</v>
      </c>
      <c r="J19" s="11">
        <f t="shared" si="0"/>
        <v>3.535353535353535</v>
      </c>
      <c r="K19" s="10" t="str">
        <f t="shared" si="1"/>
        <v>Higher calorie; Moderate protein density; High carb; High fat</v>
      </c>
      <c r="L19" s="10" t="s">
        <v>99</v>
      </c>
      <c r="M19" s="10" t="s">
        <v>32</v>
      </c>
      <c r="N19" s="10" t="s">
        <v>33</v>
      </c>
    </row>
    <row r="20" spans="1:14" ht="34" customHeight="1">
      <c r="A20" s="9" t="s">
        <v>100</v>
      </c>
      <c r="B20" s="9" t="s">
        <v>101</v>
      </c>
      <c r="C20" s="10" t="s">
        <v>102</v>
      </c>
      <c r="D20" s="10" t="s">
        <v>103</v>
      </c>
      <c r="E20" s="10" t="s">
        <v>104</v>
      </c>
      <c r="F20" s="11">
        <v>660</v>
      </c>
      <c r="G20" s="11">
        <v>45</v>
      </c>
      <c r="H20" s="11">
        <v>61</v>
      </c>
      <c r="I20" s="11">
        <v>29</v>
      </c>
      <c r="J20" s="11">
        <f t="shared" si="0"/>
        <v>6.8181818181818175</v>
      </c>
      <c r="K20" s="10" t="str">
        <f t="shared" si="1"/>
        <v>Moderate calorie; High protein density; Moderate carb; Moderate fat</v>
      </c>
      <c r="L20" s="10" t="s">
        <v>105</v>
      </c>
      <c r="M20" s="10" t="s">
        <v>32</v>
      </c>
      <c r="N20" s="10" t="s">
        <v>33</v>
      </c>
    </row>
    <row r="21" spans="1:14" ht="34" customHeight="1">
      <c r="A21" s="9" t="s">
        <v>106</v>
      </c>
      <c r="B21" s="9" t="s">
        <v>107</v>
      </c>
      <c r="C21" s="10" t="s">
        <v>108</v>
      </c>
      <c r="D21" s="10" t="s">
        <v>109</v>
      </c>
      <c r="E21" s="10" t="s">
        <v>110</v>
      </c>
      <c r="F21" s="11">
        <v>581</v>
      </c>
      <c r="G21" s="11">
        <v>30</v>
      </c>
      <c r="H21" s="11">
        <v>58</v>
      </c>
      <c r="I21" s="11">
        <v>26.3</v>
      </c>
      <c r="J21" s="11">
        <f t="shared" si="0"/>
        <v>5.1635111876075728</v>
      </c>
      <c r="K21" s="10" t="str">
        <f t="shared" si="1"/>
        <v>Lower calorie; High protein density; Moderate carb; Moderate fat</v>
      </c>
      <c r="L21" s="10" t="s">
        <v>111</v>
      </c>
      <c r="M21" s="10" t="s">
        <v>32</v>
      </c>
      <c r="N21" s="10" t="s">
        <v>33</v>
      </c>
    </row>
    <row r="22" spans="1:14" ht="34" customHeight="1">
      <c r="A22" s="9" t="s">
        <v>112</v>
      </c>
      <c r="B22" s="9" t="s">
        <v>113</v>
      </c>
      <c r="C22" s="10" t="s">
        <v>114</v>
      </c>
      <c r="D22" s="10" t="s">
        <v>115</v>
      </c>
      <c r="E22" s="10" t="s">
        <v>116</v>
      </c>
      <c r="F22" s="11">
        <v>520</v>
      </c>
      <c r="G22" s="11">
        <v>27</v>
      </c>
      <c r="H22" s="11">
        <v>70</v>
      </c>
      <c r="I22" s="11">
        <v>16</v>
      </c>
      <c r="J22" s="11">
        <f t="shared" si="0"/>
        <v>5.1923076923076925</v>
      </c>
      <c r="K22" s="10" t="str">
        <f t="shared" si="1"/>
        <v>Lower calorie; High protein density; High carb; Low fat</v>
      </c>
      <c r="L22" s="10" t="s">
        <v>117</v>
      </c>
      <c r="M22" s="10" t="s">
        <v>32</v>
      </c>
      <c r="N22" s="10" t="s">
        <v>33</v>
      </c>
    </row>
    <row r="23" spans="1:14" ht="34" customHeight="1">
      <c r="A23" s="9" t="s">
        <v>118</v>
      </c>
      <c r="B23" s="9" t="s">
        <v>119</v>
      </c>
      <c r="C23" s="10" t="s">
        <v>120</v>
      </c>
      <c r="D23" s="10" t="s">
        <v>121</v>
      </c>
      <c r="E23" s="10" t="s">
        <v>122</v>
      </c>
      <c r="F23" s="11">
        <v>1050</v>
      </c>
      <c r="G23" s="11">
        <v>59</v>
      </c>
      <c r="H23" s="11">
        <v>65</v>
      </c>
      <c r="I23" s="11">
        <v>59</v>
      </c>
      <c r="J23" s="11">
        <f t="shared" si="0"/>
        <v>5.6190476190476195</v>
      </c>
      <c r="K23" s="10" t="str">
        <f t="shared" si="1"/>
        <v>Higher calorie; High protein density; Moderate carb; High fat</v>
      </c>
      <c r="L23" s="10" t="s">
        <v>123</v>
      </c>
      <c r="M23" s="10" t="s">
        <v>32</v>
      </c>
      <c r="N23" s="10" t="s">
        <v>33</v>
      </c>
    </row>
    <row r="24" spans="1:14" ht="34" customHeight="1">
      <c r="A24" s="9" t="s">
        <v>124</v>
      </c>
      <c r="B24" s="9" t="s">
        <v>125</v>
      </c>
      <c r="C24" s="10" t="s">
        <v>126</v>
      </c>
      <c r="D24" s="10" t="s">
        <v>127</v>
      </c>
      <c r="E24" s="10" t="s">
        <v>128</v>
      </c>
      <c r="F24" s="11">
        <v>170</v>
      </c>
      <c r="G24" s="11">
        <v>4</v>
      </c>
      <c r="H24" s="11">
        <v>29</v>
      </c>
      <c r="I24" s="11">
        <v>3.5</v>
      </c>
      <c r="J24" s="11">
        <f t="shared" si="0"/>
        <v>2.3529411764705883</v>
      </c>
      <c r="K24" s="10" t="str">
        <f t="shared" si="1"/>
        <v>Lower calorie; Low protein density; Low carb; Low fat</v>
      </c>
      <c r="L24" s="10" t="s">
        <v>129</v>
      </c>
      <c r="M24" s="10" t="s">
        <v>32</v>
      </c>
      <c r="N24" s="10" t="s">
        <v>33</v>
      </c>
    </row>
    <row r="25" spans="1:14" ht="34" customHeight="1">
      <c r="A25" s="9" t="s">
        <v>130</v>
      </c>
      <c r="B25" s="9" t="s">
        <v>131</v>
      </c>
      <c r="C25" s="10" t="s">
        <v>132</v>
      </c>
      <c r="D25" s="10" t="s">
        <v>133</v>
      </c>
      <c r="E25" s="10" t="s">
        <v>134</v>
      </c>
      <c r="F25" s="11">
        <v>390</v>
      </c>
      <c r="G25" s="11">
        <v>40</v>
      </c>
      <c r="H25" s="11">
        <v>19</v>
      </c>
      <c r="I25" s="11">
        <v>20</v>
      </c>
      <c r="J25" s="11">
        <f t="shared" si="0"/>
        <v>10.256410256410255</v>
      </c>
      <c r="K25" s="10" t="str">
        <f t="shared" si="1"/>
        <v>Lower calorie; High protein density; Low carb; Low fat</v>
      </c>
      <c r="L25" s="10" t="s">
        <v>135</v>
      </c>
      <c r="M25" s="10" t="s">
        <v>32</v>
      </c>
      <c r="N25" s="10" t="s">
        <v>33</v>
      </c>
    </row>
    <row r="26" spans="1:14" ht="34" customHeight="1">
      <c r="A26" s="9" t="s">
        <v>136</v>
      </c>
      <c r="B26" s="9" t="s">
        <v>137</v>
      </c>
      <c r="C26" s="10" t="s">
        <v>138</v>
      </c>
      <c r="D26" s="10" t="s">
        <v>139</v>
      </c>
      <c r="E26" s="10" t="s">
        <v>140</v>
      </c>
      <c r="F26" s="11">
        <v>520</v>
      </c>
      <c r="G26" s="11">
        <v>43</v>
      </c>
      <c r="H26" s="11">
        <v>15</v>
      </c>
      <c r="I26" s="11">
        <v>37</v>
      </c>
      <c r="J26" s="11">
        <f t="shared" si="0"/>
        <v>8.2692307692307683</v>
      </c>
      <c r="K26" s="10" t="str">
        <f t="shared" si="1"/>
        <v>Lower calorie; High protein density; Low carb; Moderate fat</v>
      </c>
      <c r="L26" s="10" t="s">
        <v>141</v>
      </c>
      <c r="M26" s="10" t="s">
        <v>32</v>
      </c>
      <c r="N26" s="10" t="s">
        <v>33</v>
      </c>
    </row>
    <row r="27" spans="1:14" ht="34" customHeight="1">
      <c r="A27" s="9" t="s">
        <v>142</v>
      </c>
      <c r="B27" s="9" t="s">
        <v>143</v>
      </c>
      <c r="C27" s="10" t="s">
        <v>144</v>
      </c>
      <c r="D27" s="10" t="s">
        <v>145</v>
      </c>
      <c r="E27" s="10" t="s">
        <v>146</v>
      </c>
      <c r="F27" s="11">
        <v>997</v>
      </c>
      <c r="G27" s="11">
        <v>65</v>
      </c>
      <c r="H27" s="11">
        <v>62</v>
      </c>
      <c r="I27" s="11">
        <v>55</v>
      </c>
      <c r="J27" s="11">
        <f t="shared" si="0"/>
        <v>6.5195586760280841</v>
      </c>
      <c r="K27" s="10" t="str">
        <f t="shared" si="1"/>
        <v>Higher calorie; High protein density; Moderate carb; High fat</v>
      </c>
      <c r="L27" s="10" t="s">
        <v>147</v>
      </c>
      <c r="M27" s="10" t="s">
        <v>32</v>
      </c>
      <c r="N27" s="10" t="s">
        <v>33</v>
      </c>
    </row>
    <row r="28" spans="1:14" ht="34" customHeight="1">
      <c r="A28" s="9" t="s">
        <v>148</v>
      </c>
      <c r="B28" s="9" t="s">
        <v>149</v>
      </c>
      <c r="C28" s="10" t="s">
        <v>120</v>
      </c>
      <c r="D28" s="10" t="s">
        <v>150</v>
      </c>
      <c r="E28" s="10" t="s">
        <v>151</v>
      </c>
      <c r="F28" s="11">
        <v>990</v>
      </c>
      <c r="G28" s="11">
        <v>45</v>
      </c>
      <c r="H28" s="11">
        <v>71</v>
      </c>
      <c r="I28" s="11">
        <v>59</v>
      </c>
      <c r="J28" s="11">
        <f t="shared" si="0"/>
        <v>4.5454545454545459</v>
      </c>
      <c r="K28" s="10" t="str">
        <f t="shared" si="1"/>
        <v>Higher calorie; Moderate protein density; High carb; High fat</v>
      </c>
      <c r="L28" s="10" t="s">
        <v>152</v>
      </c>
      <c r="M28" s="10" t="s">
        <v>32</v>
      </c>
      <c r="N28" s="10" t="s">
        <v>33</v>
      </c>
    </row>
    <row r="29" spans="1:14" ht="34" customHeight="1">
      <c r="A29" s="9" t="s">
        <v>153</v>
      </c>
      <c r="B29" s="9" t="s">
        <v>154</v>
      </c>
      <c r="C29" s="10" t="s">
        <v>120</v>
      </c>
      <c r="D29" s="10" t="s">
        <v>155</v>
      </c>
      <c r="E29" s="10" t="s">
        <v>156</v>
      </c>
      <c r="F29" s="11">
        <v>480</v>
      </c>
      <c r="G29" s="11">
        <v>20</v>
      </c>
      <c r="H29" s="11">
        <v>35</v>
      </c>
      <c r="I29" s="11">
        <v>28</v>
      </c>
      <c r="J29" s="11">
        <f t="shared" si="0"/>
        <v>4.1666666666666661</v>
      </c>
      <c r="K29" s="10" t="str">
        <f t="shared" si="1"/>
        <v>Lower calorie; Moderate protein density; Moderate carb; Moderate fat</v>
      </c>
      <c r="L29" s="10" t="s">
        <v>157</v>
      </c>
      <c r="M29" s="10" t="s">
        <v>32</v>
      </c>
      <c r="N29" s="10" t="s">
        <v>33</v>
      </c>
    </row>
    <row r="30" spans="1:14" ht="34" customHeight="1">
      <c r="A30" s="9" t="s">
        <v>158</v>
      </c>
      <c r="B30" s="9" t="s">
        <v>107</v>
      </c>
      <c r="C30" s="10" t="s">
        <v>120</v>
      </c>
      <c r="D30" s="10" t="s">
        <v>159</v>
      </c>
      <c r="E30" s="10" t="s">
        <v>160</v>
      </c>
      <c r="F30" s="11">
        <v>790</v>
      </c>
      <c r="G30" s="11">
        <v>39</v>
      </c>
      <c r="H30" s="11">
        <v>83</v>
      </c>
      <c r="I30" s="11">
        <v>31</v>
      </c>
      <c r="J30" s="11">
        <f t="shared" si="0"/>
        <v>4.9367088607594933</v>
      </c>
      <c r="K30" s="10" t="str">
        <f t="shared" si="1"/>
        <v>Moderate calorie; Moderate protein density; High carb; Moderate fat</v>
      </c>
      <c r="L30" s="10" t="s">
        <v>123</v>
      </c>
      <c r="M30" s="10" t="s">
        <v>32</v>
      </c>
      <c r="N30" s="10" t="s">
        <v>33</v>
      </c>
    </row>
    <row r="31" spans="1:14" ht="34" customHeight="1">
      <c r="A31" s="9" t="s">
        <v>161</v>
      </c>
      <c r="B31" s="9" t="s">
        <v>162</v>
      </c>
      <c r="C31" s="10" t="s">
        <v>120</v>
      </c>
      <c r="D31" s="10" t="s">
        <v>163</v>
      </c>
      <c r="E31" s="10" t="s">
        <v>164</v>
      </c>
      <c r="F31" s="11">
        <v>760</v>
      </c>
      <c r="G31" s="11">
        <v>60</v>
      </c>
      <c r="H31" s="11">
        <v>48</v>
      </c>
      <c r="I31" s="11">
        <v>40</v>
      </c>
      <c r="J31" s="11">
        <f t="shared" si="0"/>
        <v>7.8947368421052628</v>
      </c>
      <c r="K31" s="10" t="str">
        <f t="shared" si="1"/>
        <v>Moderate calorie; High protein density; Moderate carb; High fat</v>
      </c>
      <c r="L31" s="10" t="s">
        <v>165</v>
      </c>
      <c r="M31" s="10" t="s">
        <v>32</v>
      </c>
      <c r="N31" s="10" t="s">
        <v>33</v>
      </c>
    </row>
    <row r="32" spans="1:14" ht="34" customHeight="1">
      <c r="A32" s="9" t="s">
        <v>166</v>
      </c>
      <c r="B32" s="9" t="s">
        <v>162</v>
      </c>
      <c r="C32" s="10" t="s">
        <v>120</v>
      </c>
      <c r="D32" s="10" t="s">
        <v>167</v>
      </c>
      <c r="E32" s="10" t="s">
        <v>168</v>
      </c>
      <c r="F32" s="11">
        <v>1110</v>
      </c>
      <c r="G32" s="11">
        <v>36</v>
      </c>
      <c r="H32" s="11">
        <v>73</v>
      </c>
      <c r="I32" s="11">
        <v>76</v>
      </c>
      <c r="J32" s="11">
        <f t="shared" si="0"/>
        <v>3.2432432432432434</v>
      </c>
      <c r="K32" s="10" t="str">
        <f t="shared" si="1"/>
        <v>Higher calorie; Low protein density; High carb; High fat</v>
      </c>
      <c r="L32" s="10" t="s">
        <v>169</v>
      </c>
      <c r="M32" s="10" t="s">
        <v>32</v>
      </c>
      <c r="N32" s="10" t="s">
        <v>33</v>
      </c>
    </row>
    <row r="33" spans="1:14" ht="34" customHeight="1">
      <c r="A33" s="9" t="s">
        <v>170</v>
      </c>
      <c r="B33" s="9" t="s">
        <v>35</v>
      </c>
      <c r="C33" s="10" t="s">
        <v>120</v>
      </c>
      <c r="D33" s="10" t="s">
        <v>171</v>
      </c>
      <c r="E33" s="10" t="s">
        <v>172</v>
      </c>
      <c r="F33" s="11">
        <v>1050</v>
      </c>
      <c r="G33" s="11">
        <v>29</v>
      </c>
      <c r="H33" s="11">
        <v>48</v>
      </c>
      <c r="I33" s="11">
        <v>86</v>
      </c>
      <c r="J33" s="11">
        <f t="shared" si="0"/>
        <v>2.7619047619047619</v>
      </c>
      <c r="K33" s="10" t="str">
        <f t="shared" si="1"/>
        <v>Higher calorie; Low protein density; Moderate carb; High fat</v>
      </c>
      <c r="L33" s="10" t="s">
        <v>173</v>
      </c>
      <c r="M33" s="10" t="s">
        <v>32</v>
      </c>
      <c r="N33" s="10" t="s">
        <v>33</v>
      </c>
    </row>
    <row r="34" spans="1:14" ht="34" customHeight="1">
      <c r="A34" s="9" t="s">
        <v>174</v>
      </c>
      <c r="B34" s="9" t="s">
        <v>143</v>
      </c>
      <c r="C34" s="10" t="s">
        <v>120</v>
      </c>
      <c r="D34" s="10" t="s">
        <v>175</v>
      </c>
      <c r="E34" s="10" t="s">
        <v>176</v>
      </c>
      <c r="F34" s="11">
        <v>1160</v>
      </c>
      <c r="G34" s="11">
        <v>53</v>
      </c>
      <c r="H34" s="11">
        <v>64</v>
      </c>
      <c r="I34" s="11">
        <v>76</v>
      </c>
      <c r="J34" s="11">
        <f t="shared" si="0"/>
        <v>4.568965517241379</v>
      </c>
      <c r="K34" s="10" t="str">
        <f t="shared" si="1"/>
        <v>Higher calorie; Moderate protein density; Moderate carb; High fat</v>
      </c>
      <c r="L34" s="10" t="s">
        <v>177</v>
      </c>
      <c r="M34" s="10" t="s">
        <v>32</v>
      </c>
      <c r="N34" s="10" t="s">
        <v>33</v>
      </c>
    </row>
    <row r="35" spans="1:14" ht="34" customHeight="1">
      <c r="A35" s="9" t="s">
        <v>178</v>
      </c>
      <c r="B35" s="9" t="s">
        <v>137</v>
      </c>
      <c r="C35" s="10" t="s">
        <v>179</v>
      </c>
      <c r="D35" s="10" t="s">
        <v>180</v>
      </c>
      <c r="E35" s="10" t="s">
        <v>181</v>
      </c>
      <c r="F35" s="11">
        <v>470</v>
      </c>
      <c r="G35" s="11">
        <v>13</v>
      </c>
      <c r="H35" s="11">
        <v>68</v>
      </c>
      <c r="I35" s="11">
        <v>14</v>
      </c>
      <c r="J35" s="11">
        <f t="shared" si="0"/>
        <v>2.7659574468085104</v>
      </c>
      <c r="K35" s="10" t="str">
        <f t="shared" si="1"/>
        <v>Lower calorie; Low protein density; Moderate carb; Low fat</v>
      </c>
      <c r="L35" s="10" t="s">
        <v>182</v>
      </c>
      <c r="M35" s="10" t="s">
        <v>32</v>
      </c>
      <c r="N35" s="10" t="s">
        <v>33</v>
      </c>
    </row>
    <row r="36" spans="1:14" ht="34" customHeight="1">
      <c r="A36" s="9" t="s">
        <v>183</v>
      </c>
      <c r="B36" s="9" t="s">
        <v>184</v>
      </c>
      <c r="C36" s="10" t="s">
        <v>185</v>
      </c>
      <c r="D36" s="10" t="s">
        <v>186</v>
      </c>
      <c r="E36" s="10" t="s">
        <v>187</v>
      </c>
      <c r="F36" s="11">
        <v>480</v>
      </c>
      <c r="G36" s="11">
        <v>37</v>
      </c>
      <c r="H36" s="11">
        <v>19</v>
      </c>
      <c r="I36" s="11">
        <v>29</v>
      </c>
      <c r="J36" s="11">
        <f t="shared" si="0"/>
        <v>7.7083333333333339</v>
      </c>
      <c r="K36" s="10" t="str">
        <f t="shared" si="1"/>
        <v>Lower calorie; High protein density; Low carb; Moderate fat</v>
      </c>
      <c r="L36" s="10" t="s">
        <v>188</v>
      </c>
      <c r="M36" s="10" t="s">
        <v>32</v>
      </c>
      <c r="N36" s="10" t="s">
        <v>33</v>
      </c>
    </row>
    <row r="37" spans="1:14" ht="34" customHeight="1">
      <c r="A37" s="9" t="s">
        <v>189</v>
      </c>
      <c r="B37" s="9" t="s">
        <v>190</v>
      </c>
      <c r="C37" s="10" t="s">
        <v>191</v>
      </c>
      <c r="D37" s="10" t="s">
        <v>192</v>
      </c>
      <c r="E37" s="10" t="s">
        <v>193</v>
      </c>
      <c r="F37" s="11">
        <v>546</v>
      </c>
      <c r="G37" s="11">
        <v>17</v>
      </c>
      <c r="H37" s="11">
        <v>80</v>
      </c>
      <c r="I37" s="11">
        <v>20.399999999999999</v>
      </c>
      <c r="J37" s="11">
        <f t="shared" si="0"/>
        <v>3.1135531135531136</v>
      </c>
      <c r="K37" s="10" t="str">
        <f t="shared" si="1"/>
        <v>Lower calorie; Low protein density; High carb; Moderate fat</v>
      </c>
      <c r="L37" s="10" t="s">
        <v>194</v>
      </c>
      <c r="M37" s="10" t="s">
        <v>32</v>
      </c>
      <c r="N37" s="10" t="s">
        <v>33</v>
      </c>
    </row>
    <row r="38" spans="1:14" ht="34" customHeight="1">
      <c r="A38" s="9" t="s">
        <v>195</v>
      </c>
      <c r="B38" s="9" t="s">
        <v>196</v>
      </c>
      <c r="C38" s="10" t="s">
        <v>197</v>
      </c>
      <c r="D38" s="10" t="s">
        <v>198</v>
      </c>
      <c r="E38" s="10" t="s">
        <v>199</v>
      </c>
      <c r="F38" s="11">
        <v>596</v>
      </c>
      <c r="G38" s="11">
        <v>50</v>
      </c>
      <c r="H38" s="11">
        <v>36</v>
      </c>
      <c r="I38" s="11">
        <v>28.3</v>
      </c>
      <c r="J38" s="11">
        <f t="shared" si="0"/>
        <v>8.3892617449664435</v>
      </c>
      <c r="K38" s="10" t="str">
        <f t="shared" si="1"/>
        <v>Lower calorie; High protein density; Moderate carb; Moderate fat</v>
      </c>
      <c r="L38" s="10" t="s">
        <v>200</v>
      </c>
      <c r="M38" s="10" t="s">
        <v>32</v>
      </c>
      <c r="N38" s="10" t="s">
        <v>33</v>
      </c>
    </row>
    <row r="39" spans="1:14" ht="34" customHeight="1">
      <c r="A39" s="9" t="s">
        <v>201</v>
      </c>
      <c r="B39" s="9" t="s">
        <v>196</v>
      </c>
      <c r="C39" s="10" t="s">
        <v>102</v>
      </c>
      <c r="D39" s="10" t="s">
        <v>202</v>
      </c>
      <c r="E39" s="10" t="s">
        <v>203</v>
      </c>
      <c r="F39" s="11">
        <v>810</v>
      </c>
      <c r="G39" s="11">
        <v>38</v>
      </c>
      <c r="H39" s="11">
        <v>55</v>
      </c>
      <c r="I39" s="11">
        <v>50</v>
      </c>
      <c r="J39" s="11">
        <f t="shared" si="0"/>
        <v>4.6913580246913584</v>
      </c>
      <c r="K39" s="10" t="str">
        <f t="shared" si="1"/>
        <v>Higher calorie; Moderate protein density; Moderate carb; High fat</v>
      </c>
      <c r="L39" s="10" t="s">
        <v>204</v>
      </c>
      <c r="M39" s="10" t="s">
        <v>32</v>
      </c>
      <c r="N39" s="10" t="s">
        <v>33</v>
      </c>
    </row>
    <row r="40" spans="1:14" ht="34" customHeight="1">
      <c r="A40" s="9" t="s">
        <v>205</v>
      </c>
      <c r="B40" s="9" t="s">
        <v>206</v>
      </c>
      <c r="C40" s="10" t="s">
        <v>207</v>
      </c>
      <c r="D40" s="10" t="s">
        <v>208</v>
      </c>
      <c r="E40" s="10" t="s">
        <v>209</v>
      </c>
      <c r="F40" s="11">
        <v>510</v>
      </c>
      <c r="G40" s="11">
        <v>39</v>
      </c>
      <c r="H40" s="11">
        <v>13</v>
      </c>
      <c r="I40" s="11">
        <v>28</v>
      </c>
      <c r="J40" s="11">
        <f t="shared" si="0"/>
        <v>7.6470588235294121</v>
      </c>
      <c r="K40" s="10" t="str">
        <f t="shared" si="1"/>
        <v>Lower calorie; High protein density; Low carb; Moderate fat</v>
      </c>
      <c r="L40" s="10" t="s">
        <v>210</v>
      </c>
      <c r="M40" s="10" t="s">
        <v>32</v>
      </c>
      <c r="N40" s="10" t="s">
        <v>33</v>
      </c>
    </row>
    <row r="41" spans="1:14" ht="34" customHeight="1">
      <c r="A41" s="9" t="s">
        <v>211</v>
      </c>
      <c r="B41" s="9" t="s">
        <v>143</v>
      </c>
      <c r="C41" s="10" t="s">
        <v>102</v>
      </c>
      <c r="D41" s="10" t="s">
        <v>212</v>
      </c>
      <c r="E41" s="10" t="s">
        <v>213</v>
      </c>
      <c r="F41" s="11">
        <v>665</v>
      </c>
      <c r="G41" s="11">
        <v>33</v>
      </c>
      <c r="H41" s="11">
        <v>46</v>
      </c>
      <c r="I41" s="11">
        <v>39.5</v>
      </c>
      <c r="J41" s="11">
        <f t="shared" si="0"/>
        <v>4.9624060150375939</v>
      </c>
      <c r="K41" s="10" t="str">
        <f t="shared" si="1"/>
        <v>Moderate calorie; Moderate protein density; Moderate carb; Moderate fat</v>
      </c>
      <c r="L41" s="10" t="s">
        <v>214</v>
      </c>
      <c r="M41" s="10" t="s">
        <v>32</v>
      </c>
      <c r="N41" s="10" t="s">
        <v>33</v>
      </c>
    </row>
    <row r="42" spans="1:14" ht="34" customHeight="1">
      <c r="A42" s="9" t="s">
        <v>215</v>
      </c>
      <c r="B42" s="9" t="s">
        <v>196</v>
      </c>
      <c r="C42" s="10" t="s">
        <v>216</v>
      </c>
      <c r="D42" s="10" t="s">
        <v>217</v>
      </c>
      <c r="E42" s="10" t="s">
        <v>218</v>
      </c>
      <c r="F42" s="11">
        <v>763</v>
      </c>
      <c r="G42" s="11">
        <v>21</v>
      </c>
      <c r="H42" s="11">
        <v>64</v>
      </c>
      <c r="I42" s="11">
        <v>44.5</v>
      </c>
      <c r="J42" s="11">
        <f t="shared" si="0"/>
        <v>2.7522935779816518</v>
      </c>
      <c r="K42" s="10" t="str">
        <f t="shared" si="1"/>
        <v>Moderate calorie; Low protein density; Moderate carb; High fat</v>
      </c>
      <c r="L42" s="10" t="s">
        <v>219</v>
      </c>
      <c r="M42" s="10" t="s">
        <v>32</v>
      </c>
      <c r="N42" s="10" t="s">
        <v>33</v>
      </c>
    </row>
    <row r="43" spans="1:14" ht="34" customHeight="1">
      <c r="A43" s="9" t="s">
        <v>220</v>
      </c>
      <c r="B43" s="9" t="s">
        <v>221</v>
      </c>
      <c r="C43" s="10" t="s">
        <v>90</v>
      </c>
      <c r="D43" s="10" t="s">
        <v>222</v>
      </c>
      <c r="E43" s="10" t="s">
        <v>223</v>
      </c>
      <c r="F43" s="11">
        <v>700</v>
      </c>
      <c r="G43" s="11">
        <v>42</v>
      </c>
      <c r="H43" s="11">
        <v>55</v>
      </c>
      <c r="I43" s="11">
        <v>32</v>
      </c>
      <c r="J43" s="11">
        <f t="shared" si="0"/>
        <v>6</v>
      </c>
      <c r="K43" s="10" t="str">
        <f t="shared" si="1"/>
        <v>Moderate calorie; High protein density; Moderate carb; Moderate fat</v>
      </c>
      <c r="L43" s="10" t="s">
        <v>224</v>
      </c>
      <c r="M43" s="10" t="s">
        <v>32</v>
      </c>
      <c r="N43" s="10" t="s">
        <v>33</v>
      </c>
    </row>
    <row r="44" spans="1:14" ht="34" customHeight="1">
      <c r="A44" s="9" t="s">
        <v>225</v>
      </c>
      <c r="B44" s="9" t="s">
        <v>154</v>
      </c>
      <c r="C44" s="10" t="s">
        <v>226</v>
      </c>
      <c r="D44" s="10" t="s">
        <v>227</v>
      </c>
      <c r="E44" s="10" t="s">
        <v>228</v>
      </c>
      <c r="F44" s="11">
        <v>880</v>
      </c>
      <c r="G44" s="11">
        <v>48</v>
      </c>
      <c r="H44" s="11">
        <v>67</v>
      </c>
      <c r="I44" s="11">
        <v>46</v>
      </c>
      <c r="J44" s="11">
        <f t="shared" si="0"/>
        <v>5.4545454545454541</v>
      </c>
      <c r="K44" s="10" t="str">
        <f t="shared" si="1"/>
        <v>Higher calorie; High protein density; Moderate carb; High fat</v>
      </c>
      <c r="L44" s="10" t="s">
        <v>229</v>
      </c>
      <c r="M44" s="10" t="s">
        <v>32</v>
      </c>
      <c r="N44" s="10" t="s">
        <v>33</v>
      </c>
    </row>
    <row r="45" spans="1:14" ht="34" customHeight="1">
      <c r="A45" s="9" t="s">
        <v>230</v>
      </c>
      <c r="B45" s="9" t="s">
        <v>119</v>
      </c>
      <c r="C45" s="10" t="s">
        <v>144</v>
      </c>
      <c r="D45" s="10" t="s">
        <v>231</v>
      </c>
      <c r="E45" s="10" t="s">
        <v>232</v>
      </c>
      <c r="F45" s="11">
        <v>1020</v>
      </c>
      <c r="G45" s="11">
        <v>55</v>
      </c>
      <c r="H45" s="11">
        <v>63</v>
      </c>
      <c r="I45" s="11">
        <v>60</v>
      </c>
      <c r="J45" s="11">
        <f t="shared" si="0"/>
        <v>5.3921568627450984</v>
      </c>
      <c r="K45" s="10" t="str">
        <f t="shared" si="1"/>
        <v>Higher calorie; High protein density; Moderate carb; High fat</v>
      </c>
      <c r="L45" s="10" t="s">
        <v>233</v>
      </c>
      <c r="M45" s="10" t="s">
        <v>32</v>
      </c>
      <c r="N45" s="10" t="s">
        <v>33</v>
      </c>
    </row>
    <row r="46" spans="1:14" ht="34" customHeight="1">
      <c r="A46" s="9" t="s">
        <v>234</v>
      </c>
      <c r="B46" s="9" t="s">
        <v>235</v>
      </c>
      <c r="C46" s="10" t="s">
        <v>144</v>
      </c>
      <c r="D46" s="10" t="s">
        <v>236</v>
      </c>
      <c r="E46" s="10" t="s">
        <v>237</v>
      </c>
      <c r="F46" s="11">
        <v>1100</v>
      </c>
      <c r="G46" s="11">
        <v>56</v>
      </c>
      <c r="H46" s="11">
        <v>85</v>
      </c>
      <c r="I46" s="11">
        <v>56</v>
      </c>
      <c r="J46" s="11">
        <f t="shared" si="0"/>
        <v>5.0909090909090908</v>
      </c>
      <c r="K46" s="10" t="str">
        <f t="shared" si="1"/>
        <v>Higher calorie; High protein density; High carb; High fat</v>
      </c>
      <c r="L46" s="10" t="s">
        <v>238</v>
      </c>
      <c r="M46" s="10" t="s">
        <v>32</v>
      </c>
      <c r="N46" s="10" t="s">
        <v>33</v>
      </c>
    </row>
    <row r="47" spans="1:14" ht="34" customHeight="1">
      <c r="A47" s="9" t="s">
        <v>239</v>
      </c>
      <c r="B47" s="9" t="s">
        <v>240</v>
      </c>
      <c r="C47" s="10" t="s">
        <v>120</v>
      </c>
      <c r="D47" s="10" t="s">
        <v>241</v>
      </c>
      <c r="E47" s="10" t="s">
        <v>242</v>
      </c>
      <c r="F47" s="11">
        <v>850</v>
      </c>
      <c r="G47" s="11">
        <v>44</v>
      </c>
      <c r="H47" s="11">
        <v>88</v>
      </c>
      <c r="I47" s="11">
        <v>36</v>
      </c>
      <c r="J47" s="11">
        <f t="shared" si="0"/>
        <v>5.1764705882352944</v>
      </c>
      <c r="K47" s="10" t="str">
        <f t="shared" si="1"/>
        <v>Higher calorie; High protein density; High carb; Moderate fat</v>
      </c>
      <c r="L47" s="10" t="s">
        <v>238</v>
      </c>
      <c r="M47" s="10" t="s">
        <v>32</v>
      </c>
      <c r="N47" s="10" t="s">
        <v>33</v>
      </c>
    </row>
    <row r="48" spans="1:14" ht="34" customHeight="1">
      <c r="A48" s="9" t="s">
        <v>243</v>
      </c>
      <c r="B48" s="9" t="s">
        <v>143</v>
      </c>
      <c r="C48" s="10" t="s">
        <v>102</v>
      </c>
      <c r="D48" s="10" t="s">
        <v>244</v>
      </c>
      <c r="E48" s="10" t="s">
        <v>245</v>
      </c>
      <c r="F48" s="11">
        <v>627</v>
      </c>
      <c r="G48" s="11">
        <v>48</v>
      </c>
      <c r="H48" s="11">
        <v>48</v>
      </c>
      <c r="I48" s="11">
        <v>30.9</v>
      </c>
      <c r="J48" s="11">
        <f t="shared" si="0"/>
        <v>7.6555023923444976</v>
      </c>
      <c r="K48" s="10" t="str">
        <f t="shared" si="1"/>
        <v>Moderate calorie; High protein density; Moderate carb; Moderate fat</v>
      </c>
      <c r="L48" s="10" t="s">
        <v>246</v>
      </c>
      <c r="M48" s="10" t="s">
        <v>32</v>
      </c>
      <c r="N48" s="10" t="s">
        <v>33</v>
      </c>
    </row>
    <row r="49" spans="1:14" ht="34" customHeight="1">
      <c r="A49" s="9" t="s">
        <v>247</v>
      </c>
      <c r="B49" s="9" t="s">
        <v>95</v>
      </c>
      <c r="C49" s="10" t="s">
        <v>78</v>
      </c>
      <c r="D49" s="10" t="s">
        <v>248</v>
      </c>
      <c r="E49" s="10" t="s">
        <v>249</v>
      </c>
      <c r="F49" s="11">
        <v>410</v>
      </c>
      <c r="G49" s="11">
        <v>25</v>
      </c>
      <c r="H49" s="11">
        <v>37</v>
      </c>
      <c r="I49" s="11">
        <v>16</v>
      </c>
      <c r="J49" s="11">
        <f t="shared" si="0"/>
        <v>6.0975609756097562</v>
      </c>
      <c r="K49" s="10" t="str">
        <f t="shared" si="1"/>
        <v>Lower calorie; High protein density; Moderate carb; Low fat</v>
      </c>
      <c r="L49" s="10" t="s">
        <v>250</v>
      </c>
      <c r="M49" s="10" t="s">
        <v>32</v>
      </c>
      <c r="N49" s="10" t="s">
        <v>33</v>
      </c>
    </row>
    <row r="50" spans="1:14" ht="34" customHeight="1">
      <c r="A50" s="9" t="s">
        <v>251</v>
      </c>
      <c r="B50" s="9" t="s">
        <v>143</v>
      </c>
      <c r="C50" s="10" t="s">
        <v>120</v>
      </c>
      <c r="D50" s="10" t="s">
        <v>252</v>
      </c>
      <c r="E50" s="10" t="s">
        <v>253</v>
      </c>
      <c r="F50" s="11">
        <v>710</v>
      </c>
      <c r="G50" s="11">
        <v>29</v>
      </c>
      <c r="H50" s="11">
        <v>67</v>
      </c>
      <c r="I50" s="11">
        <v>36</v>
      </c>
      <c r="J50" s="11">
        <f t="shared" si="0"/>
        <v>4.084507042253521</v>
      </c>
      <c r="K50" s="10" t="str">
        <f t="shared" si="1"/>
        <v>Moderate calorie; Moderate protein density; Moderate carb; Moderate fat</v>
      </c>
      <c r="L50" s="10" t="s">
        <v>254</v>
      </c>
      <c r="M50" s="10" t="s">
        <v>32</v>
      </c>
      <c r="N50" s="10" t="s">
        <v>33</v>
      </c>
    </row>
    <row r="51" spans="1:14" ht="34" customHeight="1">
      <c r="A51" s="9" t="s">
        <v>255</v>
      </c>
      <c r="B51" s="9" t="s">
        <v>95</v>
      </c>
      <c r="C51" s="10" t="s">
        <v>256</v>
      </c>
      <c r="D51" s="10" t="s">
        <v>257</v>
      </c>
      <c r="E51" s="10" t="s">
        <v>258</v>
      </c>
      <c r="F51" s="11">
        <v>590</v>
      </c>
      <c r="G51" s="11">
        <v>17</v>
      </c>
      <c r="H51" s="11">
        <v>53</v>
      </c>
      <c r="I51" s="11">
        <v>35</v>
      </c>
      <c r="J51" s="11">
        <f t="shared" si="0"/>
        <v>2.8813559322033897</v>
      </c>
      <c r="K51" s="10" t="str">
        <f t="shared" si="1"/>
        <v>Lower calorie; Low protein density; Moderate carb; Moderate fat</v>
      </c>
      <c r="L51" s="10" t="s">
        <v>259</v>
      </c>
      <c r="M51" s="10" t="s">
        <v>32</v>
      </c>
      <c r="N51" s="10" t="s">
        <v>33</v>
      </c>
    </row>
    <row r="52" spans="1:14" ht="34" customHeight="1">
      <c r="A52" s="9" t="s">
        <v>260</v>
      </c>
      <c r="B52" s="9" t="s">
        <v>261</v>
      </c>
      <c r="C52" s="10" t="s">
        <v>262</v>
      </c>
      <c r="D52" s="10" t="s">
        <v>263</v>
      </c>
      <c r="E52" s="10" t="s">
        <v>264</v>
      </c>
      <c r="F52" s="11">
        <v>670</v>
      </c>
      <c r="G52" s="11">
        <v>39</v>
      </c>
      <c r="H52" s="11">
        <v>56</v>
      </c>
      <c r="I52" s="11">
        <v>32</v>
      </c>
      <c r="J52" s="11">
        <f t="shared" si="0"/>
        <v>5.8208955223880592</v>
      </c>
      <c r="K52" s="10" t="str">
        <f t="shared" si="1"/>
        <v>Moderate calorie; High protein density; Moderate carb; Moderate fat</v>
      </c>
      <c r="L52" s="10" t="s">
        <v>265</v>
      </c>
      <c r="M52" s="10" t="s">
        <v>32</v>
      </c>
      <c r="N52" s="10" t="s">
        <v>33</v>
      </c>
    </row>
    <row r="53" spans="1:14" ht="34" customHeight="1">
      <c r="A53" s="9" t="s">
        <v>266</v>
      </c>
      <c r="B53" s="9" t="s">
        <v>131</v>
      </c>
      <c r="C53" s="10" t="s">
        <v>96</v>
      </c>
      <c r="D53" s="10" t="s">
        <v>267</v>
      </c>
      <c r="E53" s="10" t="s">
        <v>268</v>
      </c>
      <c r="F53" s="11">
        <v>710</v>
      </c>
      <c r="G53" s="11">
        <v>33</v>
      </c>
      <c r="H53" s="11">
        <v>55</v>
      </c>
      <c r="I53" s="11">
        <v>42</v>
      </c>
      <c r="J53" s="11">
        <f t="shared" si="0"/>
        <v>4.647887323943662</v>
      </c>
      <c r="K53" s="10" t="str">
        <f t="shared" si="1"/>
        <v>Moderate calorie; Moderate protein density; Moderate carb; High fat</v>
      </c>
      <c r="L53" s="10" t="s">
        <v>269</v>
      </c>
      <c r="M53" s="10" t="s">
        <v>32</v>
      </c>
      <c r="N53" s="10" t="s">
        <v>33</v>
      </c>
    </row>
    <row r="54" spans="1:14" ht="34" customHeight="1">
      <c r="A54" s="9" t="s">
        <v>270</v>
      </c>
      <c r="B54" s="9" t="s">
        <v>271</v>
      </c>
      <c r="C54" s="10" t="s">
        <v>179</v>
      </c>
      <c r="D54" s="10" t="s">
        <v>272</v>
      </c>
      <c r="E54" s="10" t="s">
        <v>273</v>
      </c>
      <c r="F54" s="11">
        <v>550</v>
      </c>
      <c r="G54" s="11">
        <v>15</v>
      </c>
      <c r="H54" s="11">
        <v>56</v>
      </c>
      <c r="I54" s="11">
        <v>31</v>
      </c>
      <c r="J54" s="11">
        <f t="shared" si="0"/>
        <v>2.7272727272727271</v>
      </c>
      <c r="K54" s="10" t="str">
        <f t="shared" si="1"/>
        <v>Lower calorie; Low protein density; Moderate carb; Moderate fat</v>
      </c>
      <c r="L54" s="10" t="s">
        <v>274</v>
      </c>
      <c r="M54" s="10" t="s">
        <v>32</v>
      </c>
      <c r="N54" s="10" t="s">
        <v>33</v>
      </c>
    </row>
    <row r="55" spans="1:14" ht="34" customHeight="1">
      <c r="A55" s="9" t="s">
        <v>275</v>
      </c>
      <c r="B55" s="9" t="s">
        <v>95</v>
      </c>
      <c r="C55" s="10" t="s">
        <v>191</v>
      </c>
      <c r="D55" s="10" t="s">
        <v>276</v>
      </c>
      <c r="E55" s="10" t="s">
        <v>277</v>
      </c>
      <c r="F55" s="11">
        <v>390</v>
      </c>
      <c r="G55" s="11">
        <v>10</v>
      </c>
      <c r="H55" s="11">
        <v>54</v>
      </c>
      <c r="I55" s="11">
        <v>15</v>
      </c>
      <c r="J55" s="11">
        <f t="shared" si="0"/>
        <v>2.5641025641025639</v>
      </c>
      <c r="K55" s="10" t="str">
        <f t="shared" si="1"/>
        <v>Lower calorie; Low protein density; Moderate carb; Low fat</v>
      </c>
      <c r="L55" s="10" t="s">
        <v>278</v>
      </c>
      <c r="M55" s="10" t="s">
        <v>32</v>
      </c>
      <c r="N55" s="10" t="s">
        <v>33</v>
      </c>
    </row>
    <row r="56" spans="1:14" ht="34" customHeight="1">
      <c r="A56" s="9" t="s">
        <v>279</v>
      </c>
      <c r="B56" s="9" t="s">
        <v>280</v>
      </c>
      <c r="C56" s="10" t="s">
        <v>191</v>
      </c>
      <c r="D56" s="10" t="s">
        <v>281</v>
      </c>
      <c r="E56" s="10" t="s">
        <v>282</v>
      </c>
      <c r="F56" s="11">
        <v>490</v>
      </c>
      <c r="G56" s="11">
        <v>12</v>
      </c>
      <c r="H56" s="11">
        <v>69</v>
      </c>
      <c r="I56" s="11">
        <v>19</v>
      </c>
      <c r="J56" s="11">
        <f t="shared" si="0"/>
        <v>2.4489795918367347</v>
      </c>
      <c r="K56" s="10" t="str">
        <f t="shared" si="1"/>
        <v>Lower calorie; Low protein density; Moderate carb; Low fat</v>
      </c>
      <c r="L56" s="10" t="s">
        <v>283</v>
      </c>
      <c r="M56" s="10" t="s">
        <v>32</v>
      </c>
      <c r="N56" s="10" t="s">
        <v>33</v>
      </c>
    </row>
    <row r="57" spans="1:14" ht="34" customHeight="1">
      <c r="A57" s="9" t="s">
        <v>284</v>
      </c>
      <c r="B57" s="9" t="s">
        <v>235</v>
      </c>
      <c r="C57" s="10" t="s">
        <v>216</v>
      </c>
      <c r="D57" s="10" t="s">
        <v>285</v>
      </c>
      <c r="E57" s="10" t="s">
        <v>286</v>
      </c>
      <c r="F57" s="11">
        <v>840</v>
      </c>
      <c r="G57" s="11">
        <v>44</v>
      </c>
      <c r="H57" s="11">
        <v>57</v>
      </c>
      <c r="I57" s="11">
        <v>47</v>
      </c>
      <c r="J57" s="11">
        <f t="shared" si="0"/>
        <v>5.2380952380952381</v>
      </c>
      <c r="K57" s="10" t="str">
        <f t="shared" si="1"/>
        <v>Higher calorie; High protein density; Moderate carb; High fat</v>
      </c>
      <c r="L57" s="10" t="s">
        <v>287</v>
      </c>
      <c r="M57" s="10" t="s">
        <v>32</v>
      </c>
      <c r="N57" s="10" t="s">
        <v>33</v>
      </c>
    </row>
    <row r="58" spans="1:14" ht="34" customHeight="1">
      <c r="A58" s="9" t="s">
        <v>288</v>
      </c>
      <c r="B58" s="9" t="s">
        <v>162</v>
      </c>
      <c r="C58" s="10" t="s">
        <v>120</v>
      </c>
      <c r="D58" s="10" t="s">
        <v>289</v>
      </c>
      <c r="E58" s="10" t="s">
        <v>290</v>
      </c>
      <c r="F58" s="11">
        <v>950</v>
      </c>
      <c r="G58" s="11">
        <v>74</v>
      </c>
      <c r="H58" s="11">
        <v>58</v>
      </c>
      <c r="I58" s="11">
        <v>46</v>
      </c>
      <c r="J58" s="11">
        <f t="shared" si="0"/>
        <v>7.7894736842105265</v>
      </c>
      <c r="K58" s="10" t="str">
        <f t="shared" si="1"/>
        <v>Higher calorie; High protein density; Moderate carb; High fat</v>
      </c>
      <c r="L58" s="10" t="s">
        <v>177</v>
      </c>
      <c r="M58" s="10" t="s">
        <v>32</v>
      </c>
      <c r="N58" s="10" t="s">
        <v>33</v>
      </c>
    </row>
    <row r="59" spans="1:14" ht="34" customHeight="1">
      <c r="A59" s="9" t="s">
        <v>291</v>
      </c>
      <c r="B59" s="9" t="s">
        <v>206</v>
      </c>
      <c r="C59" s="10" t="s">
        <v>144</v>
      </c>
      <c r="D59" s="10" t="s">
        <v>292</v>
      </c>
      <c r="E59" s="10" t="s">
        <v>293</v>
      </c>
      <c r="F59" s="11">
        <v>690</v>
      </c>
      <c r="G59" s="11">
        <v>38</v>
      </c>
      <c r="H59" s="11">
        <v>52</v>
      </c>
      <c r="I59" s="11">
        <v>37</v>
      </c>
      <c r="J59" s="11">
        <f t="shared" si="0"/>
        <v>5.5072463768115938</v>
      </c>
      <c r="K59" s="10" t="str">
        <f t="shared" si="1"/>
        <v>Moderate calorie; High protein density; Moderate carb; Moderate fat</v>
      </c>
      <c r="L59" s="10" t="s">
        <v>294</v>
      </c>
      <c r="M59" s="10" t="s">
        <v>32</v>
      </c>
      <c r="N59" s="10" t="s">
        <v>33</v>
      </c>
    </row>
    <row r="60" spans="1:14" ht="34" customHeight="1">
      <c r="A60" s="9" t="s">
        <v>295</v>
      </c>
      <c r="B60" s="9" t="s">
        <v>296</v>
      </c>
      <c r="C60" s="10" t="s">
        <v>297</v>
      </c>
      <c r="D60" s="10" t="s">
        <v>298</v>
      </c>
      <c r="E60" s="10" t="s">
        <v>299</v>
      </c>
      <c r="F60" s="11">
        <v>530</v>
      </c>
      <c r="G60" s="11">
        <v>37</v>
      </c>
      <c r="H60" s="11">
        <v>53</v>
      </c>
      <c r="I60" s="11">
        <v>22</v>
      </c>
      <c r="J60" s="11">
        <f t="shared" si="0"/>
        <v>6.9811320754716979</v>
      </c>
      <c r="K60" s="10" t="str">
        <f t="shared" si="1"/>
        <v>Lower calorie; High protein density; Moderate carb; Moderate fat</v>
      </c>
      <c r="L60" s="10" t="s">
        <v>300</v>
      </c>
      <c r="M60" s="10" t="s">
        <v>32</v>
      </c>
      <c r="N60" s="10" t="s">
        <v>33</v>
      </c>
    </row>
    <row r="61" spans="1:14" ht="34" customHeight="1">
      <c r="A61" s="9" t="s">
        <v>301</v>
      </c>
      <c r="B61" s="9" t="s">
        <v>77</v>
      </c>
      <c r="C61" s="10" t="s">
        <v>302</v>
      </c>
      <c r="D61" s="10" t="s">
        <v>303</v>
      </c>
      <c r="E61" s="10" t="s">
        <v>304</v>
      </c>
      <c r="F61" s="11">
        <v>559</v>
      </c>
      <c r="G61" s="11">
        <v>50</v>
      </c>
      <c r="H61" s="11">
        <v>45</v>
      </c>
      <c r="I61" s="11">
        <v>16.8</v>
      </c>
      <c r="J61" s="11">
        <f t="shared" si="0"/>
        <v>8.9445438282647594</v>
      </c>
      <c r="K61" s="10" t="str">
        <f t="shared" si="1"/>
        <v>Lower calorie; High protein density; Moderate carb; Low fat</v>
      </c>
      <c r="L61" s="10" t="s">
        <v>305</v>
      </c>
      <c r="M61" s="10" t="s">
        <v>32</v>
      </c>
      <c r="N61" s="10" t="s">
        <v>33</v>
      </c>
    </row>
    <row r="62" spans="1:14" ht="34" customHeight="1">
      <c r="A62" s="9" t="s">
        <v>306</v>
      </c>
      <c r="B62" s="9" t="s">
        <v>162</v>
      </c>
      <c r="C62" s="10" t="s">
        <v>144</v>
      </c>
      <c r="D62" s="10" t="s">
        <v>307</v>
      </c>
      <c r="E62" s="10" t="s">
        <v>308</v>
      </c>
      <c r="F62" s="11">
        <v>800</v>
      </c>
      <c r="G62" s="11">
        <v>44</v>
      </c>
      <c r="H62" s="11">
        <v>63</v>
      </c>
      <c r="I62" s="11">
        <v>40</v>
      </c>
      <c r="J62" s="11">
        <f t="shared" si="0"/>
        <v>5.5</v>
      </c>
      <c r="K62" s="10" t="str">
        <f t="shared" si="1"/>
        <v>Higher calorie; High protein density; Moderate carb; High fat</v>
      </c>
      <c r="L62" s="10" t="s">
        <v>309</v>
      </c>
      <c r="M62" s="10" t="s">
        <v>32</v>
      </c>
      <c r="N62" s="10" t="s">
        <v>33</v>
      </c>
    </row>
    <row r="63" spans="1:14" ht="34" customHeight="1">
      <c r="A63" s="9" t="s">
        <v>310</v>
      </c>
      <c r="B63" s="9" t="s">
        <v>77</v>
      </c>
      <c r="C63" s="10" t="s">
        <v>144</v>
      </c>
      <c r="D63" s="10" t="s">
        <v>311</v>
      </c>
      <c r="E63" s="10" t="s">
        <v>312</v>
      </c>
      <c r="F63" s="11">
        <v>865</v>
      </c>
      <c r="G63" s="11">
        <v>41</v>
      </c>
      <c r="H63" s="11">
        <v>58</v>
      </c>
      <c r="I63" s="11">
        <v>55.4</v>
      </c>
      <c r="J63" s="11">
        <f t="shared" si="0"/>
        <v>4.7398843930635834</v>
      </c>
      <c r="K63" s="10" t="str">
        <f t="shared" si="1"/>
        <v>Higher calorie; Moderate protein density; Moderate carb; High fat</v>
      </c>
      <c r="L63" s="10" t="s">
        <v>313</v>
      </c>
      <c r="M63" s="10" t="s">
        <v>32</v>
      </c>
      <c r="N63" s="10" t="s">
        <v>33</v>
      </c>
    </row>
    <row r="64" spans="1:14" ht="34" customHeight="1">
      <c r="A64" s="9" t="s">
        <v>314</v>
      </c>
      <c r="B64" s="9" t="s">
        <v>137</v>
      </c>
      <c r="C64" s="10" t="s">
        <v>144</v>
      </c>
      <c r="D64" s="10" t="s">
        <v>315</v>
      </c>
      <c r="E64" s="10" t="s">
        <v>316</v>
      </c>
      <c r="F64" s="11">
        <v>980</v>
      </c>
      <c r="G64" s="11">
        <v>48</v>
      </c>
      <c r="H64" s="11">
        <v>90</v>
      </c>
      <c r="I64" s="11">
        <v>48</v>
      </c>
      <c r="J64" s="11">
        <f t="shared" si="0"/>
        <v>4.8979591836734695</v>
      </c>
      <c r="K64" s="10" t="str">
        <f t="shared" si="1"/>
        <v>Higher calorie; Moderate protein density; High carb; High fat</v>
      </c>
      <c r="L64" s="10" t="s">
        <v>177</v>
      </c>
      <c r="M64" s="10" t="s">
        <v>32</v>
      </c>
      <c r="N64" s="10" t="s">
        <v>33</v>
      </c>
    </row>
    <row r="65" spans="1:14" ht="34" customHeight="1">
      <c r="A65" s="9" t="s">
        <v>317</v>
      </c>
      <c r="B65" s="9" t="s">
        <v>27</v>
      </c>
      <c r="C65" s="10" t="s">
        <v>318</v>
      </c>
      <c r="D65" s="10" t="s">
        <v>319</v>
      </c>
      <c r="E65" s="10" t="s">
        <v>320</v>
      </c>
      <c r="F65" s="11">
        <v>530</v>
      </c>
      <c r="G65" s="11">
        <v>59</v>
      </c>
      <c r="H65" s="11">
        <v>33</v>
      </c>
      <c r="I65" s="11">
        <v>17</v>
      </c>
      <c r="J65" s="11">
        <f t="shared" si="0"/>
        <v>11.132075471698114</v>
      </c>
      <c r="K65" s="10" t="str">
        <f t="shared" si="1"/>
        <v>Lower calorie; High protein density; Moderate carb; Low fat</v>
      </c>
      <c r="L65" s="10" t="s">
        <v>321</v>
      </c>
      <c r="M65" s="10" t="s">
        <v>32</v>
      </c>
      <c r="N65" s="10" t="s">
        <v>33</v>
      </c>
    </row>
    <row r="66" spans="1:14" ht="34" customHeight="1">
      <c r="A66" s="9" t="s">
        <v>322</v>
      </c>
      <c r="B66" s="9" t="s">
        <v>206</v>
      </c>
      <c r="C66" s="10" t="s">
        <v>144</v>
      </c>
      <c r="D66" s="10" t="s">
        <v>323</v>
      </c>
      <c r="E66" s="10" t="s">
        <v>324</v>
      </c>
      <c r="F66" s="11">
        <v>800</v>
      </c>
      <c r="G66" s="11">
        <v>38</v>
      </c>
      <c r="H66" s="11">
        <v>51</v>
      </c>
      <c r="I66" s="11">
        <v>51</v>
      </c>
      <c r="J66" s="11">
        <f t="shared" si="0"/>
        <v>4.75</v>
      </c>
      <c r="K66" s="10" t="str">
        <f t="shared" si="1"/>
        <v>Higher calorie; Moderate protein density; Moderate carb; High fat</v>
      </c>
      <c r="L66" s="10" t="s">
        <v>325</v>
      </c>
      <c r="M66" s="10" t="s">
        <v>32</v>
      </c>
      <c r="N66" s="10" t="s">
        <v>33</v>
      </c>
    </row>
    <row r="67" spans="1:14" ht="34" customHeight="1">
      <c r="A67" s="9" t="s">
        <v>326</v>
      </c>
      <c r="B67" s="9" t="s">
        <v>327</v>
      </c>
      <c r="C67" s="10" t="s">
        <v>328</v>
      </c>
      <c r="D67" s="10" t="s">
        <v>329</v>
      </c>
      <c r="E67" s="10" t="s">
        <v>330</v>
      </c>
      <c r="F67" s="11">
        <v>550</v>
      </c>
      <c r="G67" s="11">
        <v>40</v>
      </c>
      <c r="H67" s="11">
        <v>29</v>
      </c>
      <c r="I67" s="11">
        <v>33</v>
      </c>
      <c r="J67" s="11">
        <f t="shared" si="0"/>
        <v>7.2727272727272725</v>
      </c>
      <c r="K67" s="10" t="str">
        <f t="shared" si="1"/>
        <v>Lower calorie; High protein density; Low carb; Moderate fat</v>
      </c>
      <c r="L67" s="10" t="s">
        <v>331</v>
      </c>
      <c r="M67" s="10" t="s">
        <v>32</v>
      </c>
      <c r="N67" s="10" t="s">
        <v>33</v>
      </c>
    </row>
    <row r="68" spans="1:14" ht="34" customHeight="1">
      <c r="A68" s="9" t="s">
        <v>332</v>
      </c>
      <c r="B68" s="9" t="s">
        <v>27</v>
      </c>
      <c r="C68" s="10" t="s">
        <v>28</v>
      </c>
      <c r="D68" s="10" t="s">
        <v>333</v>
      </c>
      <c r="E68" s="10" t="s">
        <v>334</v>
      </c>
      <c r="F68" s="11">
        <v>650</v>
      </c>
      <c r="G68" s="11">
        <v>38</v>
      </c>
      <c r="H68" s="11">
        <v>79</v>
      </c>
      <c r="I68" s="11">
        <v>21</v>
      </c>
      <c r="J68" s="11">
        <f t="shared" si="0"/>
        <v>5.8461538461538458</v>
      </c>
      <c r="K68" s="10" t="str">
        <f t="shared" si="1"/>
        <v>Moderate calorie; High protein density; High carb; Moderate fat</v>
      </c>
      <c r="L68" s="10" t="s">
        <v>335</v>
      </c>
      <c r="M68" s="10" t="s">
        <v>32</v>
      </c>
      <c r="N68" s="10" t="s">
        <v>33</v>
      </c>
    </row>
    <row r="69" spans="1:14" ht="34" customHeight="1">
      <c r="A69" s="9" t="s">
        <v>336</v>
      </c>
      <c r="B69" s="9" t="s">
        <v>296</v>
      </c>
      <c r="C69" s="10" t="s">
        <v>28</v>
      </c>
      <c r="D69" s="10" t="s">
        <v>337</v>
      </c>
      <c r="E69" s="10" t="s">
        <v>338</v>
      </c>
      <c r="F69" s="11">
        <v>740</v>
      </c>
      <c r="G69" s="11">
        <v>43</v>
      </c>
      <c r="H69" s="11">
        <v>89</v>
      </c>
      <c r="I69" s="11">
        <v>21</v>
      </c>
      <c r="J69" s="11">
        <f t="shared" si="0"/>
        <v>5.8108108108108114</v>
      </c>
      <c r="K69" s="10" t="str">
        <f t="shared" si="1"/>
        <v>Moderate calorie; High protein density; High carb; Moderate fat</v>
      </c>
      <c r="L69" s="10" t="s">
        <v>31</v>
      </c>
      <c r="M69" s="10" t="s">
        <v>32</v>
      </c>
      <c r="N69" s="10" t="s">
        <v>33</v>
      </c>
    </row>
    <row r="70" spans="1:14" ht="34" customHeight="1">
      <c r="A70" s="9" t="s">
        <v>339</v>
      </c>
      <c r="B70" s="9" t="s">
        <v>340</v>
      </c>
      <c r="C70" s="10" t="s">
        <v>341</v>
      </c>
      <c r="D70" s="10" t="s">
        <v>342</v>
      </c>
      <c r="E70" s="10" t="s">
        <v>343</v>
      </c>
      <c r="F70" s="11">
        <v>779</v>
      </c>
      <c r="G70" s="11">
        <v>47</v>
      </c>
      <c r="H70" s="11">
        <v>41</v>
      </c>
      <c r="I70" s="11">
        <v>49.3</v>
      </c>
      <c r="J70" s="11">
        <f t="shared" si="0"/>
        <v>6.033376123234917</v>
      </c>
      <c r="K70" s="10" t="str">
        <f t="shared" si="1"/>
        <v>Moderate calorie; High protein density; Moderate carb; High fat</v>
      </c>
      <c r="L70" s="10" t="s">
        <v>344</v>
      </c>
      <c r="M70" s="10" t="s">
        <v>32</v>
      </c>
      <c r="N70" s="10" t="s">
        <v>33</v>
      </c>
    </row>
    <row r="71" spans="1:14" ht="34" customHeight="1">
      <c r="A71" s="9" t="s">
        <v>345</v>
      </c>
      <c r="B71" s="9" t="s">
        <v>77</v>
      </c>
      <c r="C71" s="10" t="s">
        <v>226</v>
      </c>
      <c r="D71" s="10" t="s">
        <v>346</v>
      </c>
      <c r="E71" s="10" t="s">
        <v>347</v>
      </c>
      <c r="F71" s="11">
        <v>770</v>
      </c>
      <c r="G71" s="11">
        <v>50</v>
      </c>
      <c r="H71" s="11">
        <v>57</v>
      </c>
      <c r="I71" s="11">
        <v>40</v>
      </c>
      <c r="J71" s="11">
        <f t="shared" si="0"/>
        <v>6.4935064935064926</v>
      </c>
      <c r="K71" s="10" t="str">
        <f t="shared" si="1"/>
        <v>Moderate calorie; High protein density; Moderate carb; High fat</v>
      </c>
      <c r="L71" s="10" t="s">
        <v>348</v>
      </c>
      <c r="M71" s="10" t="s">
        <v>32</v>
      </c>
      <c r="N71" s="10" t="s">
        <v>33</v>
      </c>
    </row>
    <row r="72" spans="1:14" ht="34" customHeight="1">
      <c r="A72" s="9" t="s">
        <v>349</v>
      </c>
      <c r="B72" s="9" t="s">
        <v>350</v>
      </c>
      <c r="C72" s="10" t="s">
        <v>144</v>
      </c>
      <c r="D72" s="10" t="s">
        <v>351</v>
      </c>
      <c r="E72" s="10" t="s">
        <v>352</v>
      </c>
      <c r="F72" s="11">
        <v>770</v>
      </c>
      <c r="G72" s="11">
        <v>44</v>
      </c>
      <c r="H72" s="11">
        <v>55</v>
      </c>
      <c r="I72" s="11">
        <v>42</v>
      </c>
      <c r="J72" s="11">
        <f t="shared" ref="J72:J135" si="2">IF(OR(F72="",G72=""),"",G72/F72*100)</f>
        <v>5.7142857142857144</v>
      </c>
      <c r="K72" s="10" t="str">
        <f t="shared" ref="K72:K135" si="3">IF(OR(F72="",G72="",H72="",I72=""),"n.a.",IF(F72&lt;=600,"Lower calorie; ",IF(F72&gt;=800,"Higher calorie; ","Moderate calorie; "))&amp;IF(G72/F72*100&gt;=5,"High protein density; ",IF(G72/F72*100&gt;=3.5,"Moderate protein density; ","Low protein density; "))&amp;IF(H72&lt;=30,"Low carb; ",IF(H72&gt;=70,"High carb; ","Moderate carb; "))&amp;IF(I72&lt;=20,"Low fat",IF(I72&gt;=40,"High fat","Moderate fat")))</f>
        <v>Moderate calorie; High protein density; Moderate carb; High fat</v>
      </c>
      <c r="L72" s="10" t="s">
        <v>169</v>
      </c>
      <c r="M72" s="10" t="s">
        <v>32</v>
      </c>
      <c r="N72" s="10" t="s">
        <v>33</v>
      </c>
    </row>
    <row r="73" spans="1:14" ht="34" customHeight="1">
      <c r="A73" s="9" t="s">
        <v>353</v>
      </c>
      <c r="B73" s="9" t="s">
        <v>221</v>
      </c>
      <c r="C73" s="10" t="s">
        <v>144</v>
      </c>
      <c r="D73" s="10" t="s">
        <v>354</v>
      </c>
      <c r="E73" s="10" t="s">
        <v>355</v>
      </c>
      <c r="F73" s="11">
        <v>740</v>
      </c>
      <c r="G73" s="11">
        <v>43</v>
      </c>
      <c r="H73" s="11">
        <v>82</v>
      </c>
      <c r="I73" s="11">
        <v>37</v>
      </c>
      <c r="J73" s="11">
        <f t="shared" si="2"/>
        <v>5.8108108108108114</v>
      </c>
      <c r="K73" s="10" t="str">
        <f t="shared" si="3"/>
        <v>Moderate calorie; High protein density; High carb; Moderate fat</v>
      </c>
      <c r="L73" s="10" t="s">
        <v>238</v>
      </c>
      <c r="M73" s="10" t="s">
        <v>32</v>
      </c>
      <c r="N73" s="10" t="s">
        <v>33</v>
      </c>
    </row>
    <row r="74" spans="1:14" ht="34" customHeight="1">
      <c r="A74" s="9" t="s">
        <v>356</v>
      </c>
      <c r="B74" s="9" t="s">
        <v>89</v>
      </c>
      <c r="C74" s="10" t="s">
        <v>54</v>
      </c>
      <c r="D74" s="10" t="s">
        <v>357</v>
      </c>
      <c r="E74" s="10" t="s">
        <v>358</v>
      </c>
      <c r="F74" s="11">
        <v>740</v>
      </c>
      <c r="G74" s="11">
        <v>44</v>
      </c>
      <c r="H74" s="11">
        <v>67</v>
      </c>
      <c r="I74" s="11">
        <v>35</v>
      </c>
      <c r="J74" s="11">
        <f t="shared" si="2"/>
        <v>5.9459459459459465</v>
      </c>
      <c r="K74" s="10" t="str">
        <f t="shared" si="3"/>
        <v>Moderate calorie; High protein density; Moderate carb; Moderate fat</v>
      </c>
      <c r="L74" s="10" t="s">
        <v>359</v>
      </c>
      <c r="M74" s="10" t="s">
        <v>32</v>
      </c>
      <c r="N74" s="10" t="s">
        <v>33</v>
      </c>
    </row>
    <row r="75" spans="1:14" ht="34" customHeight="1">
      <c r="A75" s="9" t="s">
        <v>360</v>
      </c>
      <c r="B75" s="9" t="s">
        <v>361</v>
      </c>
      <c r="C75" s="10" t="s">
        <v>362</v>
      </c>
      <c r="D75" s="10" t="s">
        <v>363</v>
      </c>
      <c r="E75" s="10" t="s">
        <v>364</v>
      </c>
      <c r="F75" s="11">
        <v>370</v>
      </c>
      <c r="G75" s="11">
        <v>26</v>
      </c>
      <c r="H75" s="11">
        <v>56</v>
      </c>
      <c r="I75" s="11">
        <v>5</v>
      </c>
      <c r="J75" s="11">
        <f t="shared" si="2"/>
        <v>7.0270270270270272</v>
      </c>
      <c r="K75" s="10" t="str">
        <f t="shared" si="3"/>
        <v>Lower calorie; High protein density; Moderate carb; Low fat</v>
      </c>
      <c r="L75" s="10" t="s">
        <v>365</v>
      </c>
      <c r="M75" s="10" t="s">
        <v>32</v>
      </c>
      <c r="N75" s="10" t="s">
        <v>33</v>
      </c>
    </row>
    <row r="76" spans="1:14" ht="34" customHeight="1">
      <c r="A76" s="9" t="s">
        <v>366</v>
      </c>
      <c r="B76" s="9" t="s">
        <v>367</v>
      </c>
      <c r="C76" s="10" t="s">
        <v>368</v>
      </c>
      <c r="D76" s="10" t="s">
        <v>369</v>
      </c>
      <c r="E76" s="10" t="s">
        <v>370</v>
      </c>
      <c r="F76" s="11">
        <v>540</v>
      </c>
      <c r="G76" s="11">
        <v>25</v>
      </c>
      <c r="H76" s="11">
        <v>68</v>
      </c>
      <c r="I76" s="11">
        <v>22</v>
      </c>
      <c r="J76" s="11">
        <f t="shared" si="2"/>
        <v>4.6296296296296298</v>
      </c>
      <c r="K76" s="10" t="str">
        <f t="shared" si="3"/>
        <v>Lower calorie; Moderate protein density; Moderate carb; Moderate fat</v>
      </c>
      <c r="L76" s="10" t="s">
        <v>371</v>
      </c>
      <c r="M76" s="10" t="s">
        <v>32</v>
      </c>
      <c r="N76" s="10" t="s">
        <v>33</v>
      </c>
    </row>
    <row r="77" spans="1:14" ht="34" customHeight="1">
      <c r="A77" s="9" t="s">
        <v>372</v>
      </c>
      <c r="B77" s="9" t="s">
        <v>149</v>
      </c>
      <c r="C77" s="10" t="s">
        <v>373</v>
      </c>
      <c r="D77" s="10" t="s">
        <v>374</v>
      </c>
      <c r="E77" s="10" t="s">
        <v>375</v>
      </c>
      <c r="F77" s="11">
        <v>510</v>
      </c>
      <c r="G77" s="11">
        <v>42</v>
      </c>
      <c r="H77" s="11">
        <v>18</v>
      </c>
      <c r="I77" s="11">
        <v>32</v>
      </c>
      <c r="J77" s="11">
        <f t="shared" si="2"/>
        <v>8.235294117647058</v>
      </c>
      <c r="K77" s="10" t="str">
        <f t="shared" si="3"/>
        <v>Lower calorie; High protein density; Low carb; Moderate fat</v>
      </c>
      <c r="L77" s="10" t="s">
        <v>376</v>
      </c>
      <c r="M77" s="10" t="s">
        <v>32</v>
      </c>
      <c r="N77" s="10" t="s">
        <v>33</v>
      </c>
    </row>
    <row r="78" spans="1:14" ht="34" customHeight="1">
      <c r="A78" s="9" t="s">
        <v>377</v>
      </c>
      <c r="B78" s="9" t="s">
        <v>190</v>
      </c>
      <c r="C78" s="10" t="s">
        <v>378</v>
      </c>
      <c r="D78" s="10" t="s">
        <v>379</v>
      </c>
      <c r="E78" s="10" t="s">
        <v>380</v>
      </c>
      <c r="F78" s="11">
        <v>540</v>
      </c>
      <c r="G78" s="11">
        <v>21</v>
      </c>
      <c r="H78" s="11">
        <v>65</v>
      </c>
      <c r="I78" s="11">
        <v>23</v>
      </c>
      <c r="J78" s="11">
        <f t="shared" si="2"/>
        <v>3.8888888888888888</v>
      </c>
      <c r="K78" s="10" t="str">
        <f t="shared" si="3"/>
        <v>Lower calorie; Moderate protein density; Moderate carb; Moderate fat</v>
      </c>
      <c r="L78" s="10" t="s">
        <v>381</v>
      </c>
      <c r="M78" s="10" t="s">
        <v>32</v>
      </c>
      <c r="N78" s="10" t="s">
        <v>33</v>
      </c>
    </row>
    <row r="79" spans="1:14" ht="34" customHeight="1">
      <c r="A79" s="9" t="s">
        <v>382</v>
      </c>
      <c r="B79" s="9" t="s">
        <v>107</v>
      </c>
      <c r="C79" s="10" t="s">
        <v>144</v>
      </c>
      <c r="D79" s="10" t="s">
        <v>383</v>
      </c>
      <c r="E79" s="10" t="s">
        <v>384</v>
      </c>
      <c r="F79" s="11">
        <v>760</v>
      </c>
      <c r="G79" s="11">
        <v>46</v>
      </c>
      <c r="H79" s="11">
        <v>70</v>
      </c>
      <c r="I79" s="11">
        <v>36</v>
      </c>
      <c r="J79" s="11">
        <f t="shared" si="2"/>
        <v>6.0526315789473681</v>
      </c>
      <c r="K79" s="10" t="str">
        <f t="shared" si="3"/>
        <v>Moderate calorie; High protein density; High carb; Moderate fat</v>
      </c>
      <c r="L79" s="10" t="s">
        <v>294</v>
      </c>
      <c r="M79" s="10" t="s">
        <v>32</v>
      </c>
      <c r="N79" s="10" t="s">
        <v>33</v>
      </c>
    </row>
    <row r="80" spans="1:14" ht="34" customHeight="1">
      <c r="A80" s="9" t="s">
        <v>385</v>
      </c>
      <c r="B80" s="9" t="s">
        <v>386</v>
      </c>
      <c r="C80" s="10" t="s">
        <v>387</v>
      </c>
      <c r="D80" s="10" t="s">
        <v>388</v>
      </c>
      <c r="E80" s="10" t="s">
        <v>389</v>
      </c>
      <c r="F80" s="11">
        <v>460</v>
      </c>
      <c r="G80" s="11">
        <v>38</v>
      </c>
      <c r="H80" s="11">
        <v>24</v>
      </c>
      <c r="I80" s="11">
        <v>26</v>
      </c>
      <c r="J80" s="11">
        <f t="shared" si="2"/>
        <v>8.2608695652173907</v>
      </c>
      <c r="K80" s="10" t="str">
        <f t="shared" si="3"/>
        <v>Lower calorie; High protein density; Low carb; Moderate fat</v>
      </c>
      <c r="L80" s="10" t="s">
        <v>390</v>
      </c>
      <c r="M80" s="10" t="s">
        <v>32</v>
      </c>
      <c r="N80" s="10" t="s">
        <v>33</v>
      </c>
    </row>
    <row r="81" spans="1:14" ht="34" customHeight="1">
      <c r="A81" s="9" t="s">
        <v>391</v>
      </c>
      <c r="B81" s="9" t="s">
        <v>149</v>
      </c>
      <c r="C81" s="10" t="s">
        <v>392</v>
      </c>
      <c r="D81" s="10" t="s">
        <v>393</v>
      </c>
      <c r="E81" s="10" t="s">
        <v>394</v>
      </c>
      <c r="F81" s="11">
        <v>690</v>
      </c>
      <c r="G81" s="11">
        <v>40</v>
      </c>
      <c r="H81" s="11">
        <v>31</v>
      </c>
      <c r="I81" s="11">
        <v>47</v>
      </c>
      <c r="J81" s="11">
        <f t="shared" si="2"/>
        <v>5.7971014492753623</v>
      </c>
      <c r="K81" s="10" t="str">
        <f t="shared" si="3"/>
        <v>Moderate calorie; High protein density; Moderate carb; High fat</v>
      </c>
      <c r="L81" s="10" t="s">
        <v>395</v>
      </c>
      <c r="M81" s="10" t="s">
        <v>32</v>
      </c>
      <c r="N81" s="10" t="s">
        <v>33</v>
      </c>
    </row>
    <row r="82" spans="1:14" ht="34" customHeight="1">
      <c r="A82" s="9" t="s">
        <v>396</v>
      </c>
      <c r="B82" s="9" t="s">
        <v>59</v>
      </c>
      <c r="C82" s="10" t="s">
        <v>397</v>
      </c>
      <c r="D82" s="10" t="s">
        <v>398</v>
      </c>
      <c r="E82" s="10" t="s">
        <v>399</v>
      </c>
      <c r="F82" s="11">
        <v>986</v>
      </c>
      <c r="G82" s="11">
        <v>40</v>
      </c>
      <c r="H82" s="11">
        <v>82</v>
      </c>
      <c r="I82" s="11">
        <v>53.7</v>
      </c>
      <c r="J82" s="11">
        <f t="shared" si="2"/>
        <v>4.056795131845842</v>
      </c>
      <c r="K82" s="10" t="str">
        <f t="shared" si="3"/>
        <v>Higher calorie; Moderate protein density; High carb; High fat</v>
      </c>
      <c r="L82" s="10" t="s">
        <v>400</v>
      </c>
      <c r="M82" s="10" t="s">
        <v>32</v>
      </c>
      <c r="N82" s="10" t="s">
        <v>33</v>
      </c>
    </row>
    <row r="83" spans="1:14" ht="34" customHeight="1">
      <c r="A83" s="9" t="s">
        <v>401</v>
      </c>
      <c r="B83" s="9" t="s">
        <v>143</v>
      </c>
      <c r="C83" s="10" t="s">
        <v>120</v>
      </c>
      <c r="D83" s="10" t="s">
        <v>402</v>
      </c>
      <c r="E83" s="10" t="s">
        <v>403</v>
      </c>
      <c r="F83" s="11">
        <v>920</v>
      </c>
      <c r="G83" s="11">
        <v>41</v>
      </c>
      <c r="H83" s="11">
        <v>56</v>
      </c>
      <c r="I83" s="11">
        <v>56</v>
      </c>
      <c r="J83" s="11">
        <f t="shared" si="2"/>
        <v>4.4565217391304346</v>
      </c>
      <c r="K83" s="10" t="str">
        <f t="shared" si="3"/>
        <v>Higher calorie; Moderate protein density; Moderate carb; High fat</v>
      </c>
      <c r="L83" s="10" t="s">
        <v>404</v>
      </c>
      <c r="M83" s="10" t="s">
        <v>32</v>
      </c>
      <c r="N83" s="10" t="s">
        <v>33</v>
      </c>
    </row>
    <row r="84" spans="1:14" ht="34" customHeight="1">
      <c r="A84" s="9" t="s">
        <v>405</v>
      </c>
      <c r="B84" s="9" t="s">
        <v>95</v>
      </c>
      <c r="C84" s="10" t="s">
        <v>120</v>
      </c>
      <c r="D84" s="10" t="s">
        <v>406</v>
      </c>
      <c r="E84" s="10" t="s">
        <v>407</v>
      </c>
      <c r="F84" s="11">
        <v>800</v>
      </c>
      <c r="G84" s="11">
        <v>42</v>
      </c>
      <c r="H84" s="11">
        <v>44</v>
      </c>
      <c r="I84" s="11">
        <v>50</v>
      </c>
      <c r="J84" s="11">
        <f t="shared" si="2"/>
        <v>5.25</v>
      </c>
      <c r="K84" s="10" t="str">
        <f t="shared" si="3"/>
        <v>Higher calorie; High protein density; Moderate carb; High fat</v>
      </c>
      <c r="L84" s="10" t="s">
        <v>408</v>
      </c>
      <c r="M84" s="10" t="s">
        <v>32</v>
      </c>
      <c r="N84" s="10" t="s">
        <v>33</v>
      </c>
    </row>
    <row r="85" spans="1:14" ht="34" customHeight="1">
      <c r="A85" s="9" t="s">
        <v>409</v>
      </c>
      <c r="B85" s="9" t="s">
        <v>149</v>
      </c>
      <c r="C85" s="10" t="s">
        <v>410</v>
      </c>
      <c r="D85" s="10" t="s">
        <v>411</v>
      </c>
      <c r="E85" s="10" t="s">
        <v>412</v>
      </c>
      <c r="F85" s="11">
        <v>640</v>
      </c>
      <c r="G85" s="11">
        <v>44</v>
      </c>
      <c r="H85" s="11">
        <v>26</v>
      </c>
      <c r="I85" s="11">
        <v>41</v>
      </c>
      <c r="J85" s="11">
        <f t="shared" si="2"/>
        <v>6.8750000000000009</v>
      </c>
      <c r="K85" s="10" t="str">
        <f t="shared" si="3"/>
        <v>Moderate calorie; High protein density; Low carb; High fat</v>
      </c>
      <c r="L85" s="10" t="s">
        <v>413</v>
      </c>
      <c r="M85" s="10" t="s">
        <v>32</v>
      </c>
      <c r="N85" s="10" t="s">
        <v>33</v>
      </c>
    </row>
    <row r="86" spans="1:14" ht="34" customHeight="1">
      <c r="A86" s="9" t="s">
        <v>414</v>
      </c>
      <c r="B86" s="9" t="s">
        <v>415</v>
      </c>
      <c r="C86" s="10" t="s">
        <v>416</v>
      </c>
      <c r="D86" s="10" t="s">
        <v>417</v>
      </c>
      <c r="E86" s="10" t="s">
        <v>418</v>
      </c>
      <c r="F86" s="11">
        <v>543</v>
      </c>
      <c r="G86" s="11">
        <v>20</v>
      </c>
      <c r="H86" s="11">
        <v>53</v>
      </c>
      <c r="I86" s="11">
        <v>30</v>
      </c>
      <c r="J86" s="11">
        <f t="shared" si="2"/>
        <v>3.6832412523020261</v>
      </c>
      <c r="K86" s="10" t="str">
        <f t="shared" si="3"/>
        <v>Lower calorie; Moderate protein density; Moderate carb; Moderate fat</v>
      </c>
      <c r="L86" s="10" t="s">
        <v>419</v>
      </c>
      <c r="M86" s="10" t="s">
        <v>32</v>
      </c>
      <c r="N86" s="10" t="s">
        <v>33</v>
      </c>
    </row>
    <row r="87" spans="1:14" ht="34" customHeight="1">
      <c r="A87" s="9" t="s">
        <v>420</v>
      </c>
      <c r="B87" s="9" t="s">
        <v>35</v>
      </c>
      <c r="C87" s="10" t="s">
        <v>226</v>
      </c>
      <c r="D87" s="10" t="s">
        <v>421</v>
      </c>
      <c r="E87" s="10" t="s">
        <v>422</v>
      </c>
      <c r="F87" s="11">
        <v>650</v>
      </c>
      <c r="G87" s="11">
        <v>39</v>
      </c>
      <c r="H87" s="11">
        <v>56</v>
      </c>
      <c r="I87" s="11">
        <v>29</v>
      </c>
      <c r="J87" s="11">
        <f t="shared" si="2"/>
        <v>6</v>
      </c>
      <c r="K87" s="10" t="str">
        <f t="shared" si="3"/>
        <v>Moderate calorie; High protein density; Moderate carb; Moderate fat</v>
      </c>
      <c r="L87" s="10" t="s">
        <v>423</v>
      </c>
      <c r="M87" s="10" t="s">
        <v>32</v>
      </c>
      <c r="N87" s="10" t="s">
        <v>33</v>
      </c>
    </row>
    <row r="88" spans="1:14" ht="34" customHeight="1">
      <c r="A88" s="9" t="s">
        <v>424</v>
      </c>
      <c r="B88" s="9" t="s">
        <v>154</v>
      </c>
      <c r="C88" s="10" t="s">
        <v>425</v>
      </c>
      <c r="D88" s="10" t="s">
        <v>426</v>
      </c>
      <c r="E88" s="10" t="s">
        <v>427</v>
      </c>
      <c r="F88" s="11">
        <v>660</v>
      </c>
      <c r="G88" s="11">
        <v>10</v>
      </c>
      <c r="H88" s="11">
        <v>81</v>
      </c>
      <c r="I88" s="11">
        <v>33</v>
      </c>
      <c r="J88" s="11">
        <f t="shared" si="2"/>
        <v>1.5151515151515151</v>
      </c>
      <c r="K88" s="10" t="str">
        <f t="shared" si="3"/>
        <v>Moderate calorie; Low protein density; High carb; Moderate fat</v>
      </c>
      <c r="L88" s="10" t="s">
        <v>428</v>
      </c>
      <c r="M88" s="10" t="s">
        <v>32</v>
      </c>
      <c r="N88" s="10" t="s">
        <v>33</v>
      </c>
    </row>
    <row r="89" spans="1:14" ht="34" customHeight="1">
      <c r="A89" s="9" t="s">
        <v>429</v>
      </c>
      <c r="B89" s="9" t="s">
        <v>280</v>
      </c>
      <c r="C89" s="10" t="s">
        <v>430</v>
      </c>
      <c r="D89" s="10" t="s">
        <v>431</v>
      </c>
      <c r="E89" s="10" t="s">
        <v>432</v>
      </c>
      <c r="F89" s="11">
        <v>348</v>
      </c>
      <c r="G89" s="11">
        <v>10</v>
      </c>
      <c r="H89" s="11">
        <v>48</v>
      </c>
      <c r="I89" s="11">
        <v>14.5</v>
      </c>
      <c r="J89" s="11">
        <f t="shared" si="2"/>
        <v>2.8735632183908044</v>
      </c>
      <c r="K89" s="10" t="str">
        <f t="shared" si="3"/>
        <v>Lower calorie; Low protein density; Moderate carb; Low fat</v>
      </c>
      <c r="L89" s="10" t="s">
        <v>433</v>
      </c>
      <c r="M89" s="10" t="s">
        <v>32</v>
      </c>
      <c r="N89" s="10" t="s">
        <v>33</v>
      </c>
    </row>
    <row r="90" spans="1:14" ht="34" customHeight="1">
      <c r="A90" s="9" t="s">
        <v>434</v>
      </c>
      <c r="B90" s="9" t="s">
        <v>143</v>
      </c>
      <c r="C90" s="10" t="s">
        <v>96</v>
      </c>
      <c r="D90" s="10" t="s">
        <v>435</v>
      </c>
      <c r="E90" s="10" t="s">
        <v>436</v>
      </c>
      <c r="F90" s="11">
        <v>645</v>
      </c>
      <c r="G90" s="11">
        <v>15</v>
      </c>
      <c r="H90" s="11">
        <v>40</v>
      </c>
      <c r="I90" s="11">
        <v>43.3</v>
      </c>
      <c r="J90" s="11">
        <f t="shared" si="2"/>
        <v>2.3255813953488373</v>
      </c>
      <c r="K90" s="10" t="str">
        <f t="shared" si="3"/>
        <v>Moderate calorie; Low protein density; Moderate carb; High fat</v>
      </c>
      <c r="L90" s="10" t="s">
        <v>437</v>
      </c>
      <c r="M90" s="10" t="s">
        <v>32</v>
      </c>
      <c r="N90" s="10" t="s">
        <v>33</v>
      </c>
    </row>
    <row r="91" spans="1:14" ht="34" customHeight="1">
      <c r="A91" s="9" t="s">
        <v>438</v>
      </c>
      <c r="B91" s="9" t="s">
        <v>143</v>
      </c>
      <c r="C91" s="10" t="s">
        <v>96</v>
      </c>
      <c r="D91" s="10" t="s">
        <v>439</v>
      </c>
      <c r="E91" s="10" t="s">
        <v>440</v>
      </c>
      <c r="F91" s="11">
        <v>420</v>
      </c>
      <c r="G91" s="11">
        <v>22</v>
      </c>
      <c r="H91" s="11">
        <v>41</v>
      </c>
      <c r="I91" s="11">
        <v>19</v>
      </c>
      <c r="J91" s="11">
        <f t="shared" si="2"/>
        <v>5.2380952380952381</v>
      </c>
      <c r="K91" s="10" t="str">
        <f t="shared" si="3"/>
        <v>Lower calorie; High protein density; Moderate carb; Low fat</v>
      </c>
      <c r="L91" s="10" t="s">
        <v>441</v>
      </c>
      <c r="M91" s="10" t="s">
        <v>32</v>
      </c>
      <c r="N91" s="10" t="s">
        <v>33</v>
      </c>
    </row>
    <row r="92" spans="1:14" ht="34" customHeight="1">
      <c r="A92" s="9" t="s">
        <v>442</v>
      </c>
      <c r="B92" s="9" t="s">
        <v>190</v>
      </c>
      <c r="C92" s="10" t="s">
        <v>430</v>
      </c>
      <c r="D92" s="10" t="s">
        <v>443</v>
      </c>
      <c r="E92" s="10" t="s">
        <v>444</v>
      </c>
      <c r="F92" s="11">
        <v>350</v>
      </c>
      <c r="G92" s="11">
        <v>11</v>
      </c>
      <c r="H92" s="11">
        <v>49</v>
      </c>
      <c r="I92" s="11">
        <v>16</v>
      </c>
      <c r="J92" s="11">
        <f t="shared" si="2"/>
        <v>3.1428571428571432</v>
      </c>
      <c r="K92" s="10" t="str">
        <f t="shared" si="3"/>
        <v>Lower calorie; Low protein density; Moderate carb; Low fat</v>
      </c>
      <c r="L92" s="10" t="s">
        <v>445</v>
      </c>
      <c r="M92" s="10" t="s">
        <v>32</v>
      </c>
      <c r="N92" s="10" t="s">
        <v>33</v>
      </c>
    </row>
    <row r="93" spans="1:14" ht="34" customHeight="1">
      <c r="A93" s="9" t="s">
        <v>446</v>
      </c>
      <c r="B93" s="9" t="s">
        <v>35</v>
      </c>
      <c r="C93" s="10" t="s">
        <v>447</v>
      </c>
      <c r="D93" s="10" t="s">
        <v>448</v>
      </c>
      <c r="E93" s="10" t="s">
        <v>449</v>
      </c>
      <c r="F93" s="11">
        <v>500</v>
      </c>
      <c r="G93" s="11">
        <v>25</v>
      </c>
      <c r="H93" s="11">
        <v>53</v>
      </c>
      <c r="I93" s="11">
        <v>21</v>
      </c>
      <c r="J93" s="11">
        <f t="shared" si="2"/>
        <v>5</v>
      </c>
      <c r="K93" s="10" t="str">
        <f t="shared" si="3"/>
        <v>Lower calorie; High protein density; Moderate carb; Moderate fat</v>
      </c>
      <c r="L93" s="10" t="s">
        <v>450</v>
      </c>
      <c r="M93" s="10" t="s">
        <v>32</v>
      </c>
      <c r="N93" s="10" t="s">
        <v>33</v>
      </c>
    </row>
    <row r="94" spans="1:14" ht="34" customHeight="1">
      <c r="A94" s="9" t="s">
        <v>451</v>
      </c>
      <c r="B94" s="9" t="s">
        <v>206</v>
      </c>
      <c r="C94" s="10" t="s">
        <v>144</v>
      </c>
      <c r="D94" s="10" t="s">
        <v>452</v>
      </c>
      <c r="E94" s="10" t="s">
        <v>453</v>
      </c>
      <c r="F94" s="11">
        <v>750</v>
      </c>
      <c r="G94" s="11">
        <v>51</v>
      </c>
      <c r="H94" s="11">
        <v>68</v>
      </c>
      <c r="I94" s="11">
        <v>28</v>
      </c>
      <c r="J94" s="11">
        <f t="shared" si="2"/>
        <v>6.8000000000000007</v>
      </c>
      <c r="K94" s="10" t="str">
        <f t="shared" si="3"/>
        <v>Moderate calorie; High protein density; Moderate carb; Moderate fat</v>
      </c>
      <c r="L94" s="10" t="s">
        <v>454</v>
      </c>
      <c r="M94" s="10" t="s">
        <v>32</v>
      </c>
      <c r="N94" s="10" t="s">
        <v>33</v>
      </c>
    </row>
    <row r="95" spans="1:14" ht="34" customHeight="1">
      <c r="A95" s="9" t="s">
        <v>455</v>
      </c>
      <c r="B95" s="9" t="s">
        <v>196</v>
      </c>
      <c r="C95" s="10" t="s">
        <v>216</v>
      </c>
      <c r="D95" s="10" t="s">
        <v>456</v>
      </c>
      <c r="E95" s="10" t="s">
        <v>457</v>
      </c>
      <c r="F95" s="11">
        <v>855</v>
      </c>
      <c r="G95" s="11">
        <v>36</v>
      </c>
      <c r="H95" s="11">
        <v>78</v>
      </c>
      <c r="I95" s="11">
        <v>42.5</v>
      </c>
      <c r="J95" s="11">
        <f t="shared" si="2"/>
        <v>4.2105263157894735</v>
      </c>
      <c r="K95" s="10" t="str">
        <f t="shared" si="3"/>
        <v>Higher calorie; Moderate protein density; High carb; High fat</v>
      </c>
      <c r="L95" s="10" t="s">
        <v>458</v>
      </c>
      <c r="M95" s="10" t="s">
        <v>32</v>
      </c>
      <c r="N95" s="10" t="s">
        <v>33</v>
      </c>
    </row>
    <row r="96" spans="1:14" ht="34" customHeight="1">
      <c r="A96" s="9" t="s">
        <v>459</v>
      </c>
      <c r="B96" s="9" t="s">
        <v>240</v>
      </c>
      <c r="C96" s="10" t="s">
        <v>144</v>
      </c>
      <c r="D96" s="10" t="s">
        <v>460</v>
      </c>
      <c r="E96" s="10" t="s">
        <v>461</v>
      </c>
      <c r="F96" s="11">
        <v>760</v>
      </c>
      <c r="G96" s="11">
        <v>49</v>
      </c>
      <c r="H96" s="11">
        <v>75</v>
      </c>
      <c r="I96" s="11">
        <v>31</v>
      </c>
      <c r="J96" s="11">
        <f t="shared" si="2"/>
        <v>6.4473684210526319</v>
      </c>
      <c r="K96" s="10" t="str">
        <f t="shared" si="3"/>
        <v>Moderate calorie; High protein density; High carb; Moderate fat</v>
      </c>
      <c r="L96" s="10" t="s">
        <v>462</v>
      </c>
      <c r="M96" s="10" t="s">
        <v>32</v>
      </c>
      <c r="N96" s="10" t="s">
        <v>33</v>
      </c>
    </row>
    <row r="97" spans="1:14" ht="34" customHeight="1">
      <c r="A97" s="9" t="s">
        <v>463</v>
      </c>
      <c r="B97" s="9" t="s">
        <v>340</v>
      </c>
      <c r="C97" s="10" t="s">
        <v>464</v>
      </c>
      <c r="D97" s="10" t="s">
        <v>465</v>
      </c>
      <c r="E97" s="10" t="s">
        <v>466</v>
      </c>
      <c r="F97" s="11">
        <v>536</v>
      </c>
      <c r="G97" s="11">
        <v>52</v>
      </c>
      <c r="H97" s="11">
        <v>15</v>
      </c>
      <c r="I97" s="11">
        <v>31.3</v>
      </c>
      <c r="J97" s="11">
        <f t="shared" si="2"/>
        <v>9.7014925373134329</v>
      </c>
      <c r="K97" s="10" t="str">
        <f t="shared" si="3"/>
        <v>Lower calorie; High protein density; Low carb; Moderate fat</v>
      </c>
      <c r="L97" s="10" t="s">
        <v>467</v>
      </c>
      <c r="M97" s="10" t="s">
        <v>32</v>
      </c>
      <c r="N97" s="10" t="s">
        <v>33</v>
      </c>
    </row>
    <row r="98" spans="1:14" ht="34" customHeight="1">
      <c r="A98" s="9" t="s">
        <v>468</v>
      </c>
      <c r="B98" s="9" t="s">
        <v>27</v>
      </c>
      <c r="C98" s="10" t="s">
        <v>469</v>
      </c>
      <c r="D98" s="10" t="s">
        <v>470</v>
      </c>
      <c r="E98" s="10" t="s">
        <v>471</v>
      </c>
      <c r="F98" s="11">
        <v>570</v>
      </c>
      <c r="G98" s="11">
        <v>11</v>
      </c>
      <c r="H98" s="11">
        <v>77</v>
      </c>
      <c r="I98" s="11">
        <v>26</v>
      </c>
      <c r="J98" s="11">
        <f t="shared" si="2"/>
        <v>1.9298245614035088</v>
      </c>
      <c r="K98" s="10" t="str">
        <f t="shared" si="3"/>
        <v>Lower calorie; Low protein density; High carb; Moderate fat</v>
      </c>
      <c r="L98" s="10" t="s">
        <v>472</v>
      </c>
      <c r="M98" s="10" t="s">
        <v>32</v>
      </c>
      <c r="N98" s="10" t="s">
        <v>33</v>
      </c>
    </row>
    <row r="99" spans="1:14" ht="34" customHeight="1">
      <c r="A99" s="9" t="s">
        <v>473</v>
      </c>
      <c r="B99" s="9" t="s">
        <v>47</v>
      </c>
      <c r="C99" s="10" t="s">
        <v>474</v>
      </c>
      <c r="D99" s="10" t="s">
        <v>475</v>
      </c>
      <c r="E99" s="10" t="s">
        <v>476</v>
      </c>
      <c r="F99" s="11">
        <v>646</v>
      </c>
      <c r="G99" s="11">
        <v>43</v>
      </c>
      <c r="H99" s="11">
        <v>32</v>
      </c>
      <c r="I99" s="11">
        <v>41.9</v>
      </c>
      <c r="J99" s="11">
        <f t="shared" si="2"/>
        <v>6.6563467492260067</v>
      </c>
      <c r="K99" s="10" t="str">
        <f t="shared" si="3"/>
        <v>Moderate calorie; High protein density; Moderate carb; High fat</v>
      </c>
      <c r="L99" s="10" t="s">
        <v>477</v>
      </c>
      <c r="M99" s="10" t="s">
        <v>32</v>
      </c>
      <c r="N99" s="10" t="s">
        <v>33</v>
      </c>
    </row>
    <row r="100" spans="1:14" ht="34" customHeight="1">
      <c r="A100" s="9" t="s">
        <v>478</v>
      </c>
      <c r="B100" s="9" t="s">
        <v>47</v>
      </c>
      <c r="C100" s="10" t="s">
        <v>42</v>
      </c>
      <c r="D100" s="10" t="s">
        <v>479</v>
      </c>
      <c r="E100" s="10" t="s">
        <v>480</v>
      </c>
      <c r="F100" s="11">
        <v>999</v>
      </c>
      <c r="G100" s="11">
        <v>24</v>
      </c>
      <c r="H100" s="11">
        <v>84</v>
      </c>
      <c r="I100" s="11">
        <v>63</v>
      </c>
      <c r="J100" s="11">
        <f t="shared" si="2"/>
        <v>2.4024024024024024</v>
      </c>
      <c r="K100" s="10" t="str">
        <f t="shared" si="3"/>
        <v>Higher calorie; Low protein density; High carb; High fat</v>
      </c>
      <c r="L100" s="10" t="s">
        <v>481</v>
      </c>
      <c r="M100" s="10" t="s">
        <v>32</v>
      </c>
      <c r="N100" s="10" t="s">
        <v>33</v>
      </c>
    </row>
    <row r="101" spans="1:14" ht="34" customHeight="1">
      <c r="A101" s="9" t="s">
        <v>482</v>
      </c>
      <c r="B101" s="9" t="s">
        <v>280</v>
      </c>
      <c r="C101" s="10" t="s">
        <v>483</v>
      </c>
      <c r="D101" s="10" t="s">
        <v>484</v>
      </c>
      <c r="E101" s="10" t="s">
        <v>485</v>
      </c>
      <c r="F101" s="11">
        <v>950</v>
      </c>
      <c r="G101" s="11">
        <v>19</v>
      </c>
      <c r="H101" s="11">
        <v>91</v>
      </c>
      <c r="I101" s="11">
        <v>57</v>
      </c>
      <c r="J101" s="11">
        <f t="shared" si="2"/>
        <v>2</v>
      </c>
      <c r="K101" s="10" t="str">
        <f t="shared" si="3"/>
        <v>Higher calorie; Low protein density; High carb; High fat</v>
      </c>
      <c r="L101" s="10" t="s">
        <v>486</v>
      </c>
      <c r="M101" s="10" t="s">
        <v>32</v>
      </c>
      <c r="N101" s="10" t="s">
        <v>33</v>
      </c>
    </row>
    <row r="102" spans="1:14" ht="34" customHeight="1">
      <c r="A102" s="9" t="s">
        <v>487</v>
      </c>
      <c r="B102" s="9" t="s">
        <v>327</v>
      </c>
      <c r="C102" s="10" t="s">
        <v>256</v>
      </c>
      <c r="D102" s="10" t="s">
        <v>488</v>
      </c>
      <c r="E102" s="10" t="s">
        <v>489</v>
      </c>
      <c r="F102" s="11">
        <v>502</v>
      </c>
      <c r="G102" s="11">
        <v>18</v>
      </c>
      <c r="H102" s="11">
        <v>54</v>
      </c>
      <c r="I102" s="11">
        <v>26.2</v>
      </c>
      <c r="J102" s="11">
        <f t="shared" si="2"/>
        <v>3.5856573705179287</v>
      </c>
      <c r="K102" s="10" t="str">
        <f t="shared" si="3"/>
        <v>Lower calorie; Moderate protein density; Moderate carb; Moderate fat</v>
      </c>
      <c r="L102" s="10" t="s">
        <v>490</v>
      </c>
      <c r="M102" s="10" t="s">
        <v>32</v>
      </c>
      <c r="N102" s="10" t="s">
        <v>33</v>
      </c>
    </row>
    <row r="103" spans="1:14" ht="34" customHeight="1">
      <c r="A103" s="9" t="s">
        <v>491</v>
      </c>
      <c r="B103" s="9" t="s">
        <v>340</v>
      </c>
      <c r="C103" s="10" t="s">
        <v>120</v>
      </c>
      <c r="D103" s="10" t="s">
        <v>492</v>
      </c>
      <c r="E103" s="10" t="s">
        <v>493</v>
      </c>
      <c r="F103" s="11">
        <v>750</v>
      </c>
      <c r="G103" s="11">
        <v>26</v>
      </c>
      <c r="H103" s="11">
        <v>75</v>
      </c>
      <c r="I103" s="11">
        <v>37</v>
      </c>
      <c r="J103" s="11">
        <f t="shared" si="2"/>
        <v>3.4666666666666663</v>
      </c>
      <c r="K103" s="10" t="str">
        <f t="shared" si="3"/>
        <v>Moderate calorie; Low protein density; High carb; Moderate fat</v>
      </c>
      <c r="L103" s="10" t="s">
        <v>494</v>
      </c>
      <c r="M103" s="10" t="s">
        <v>32</v>
      </c>
      <c r="N103" s="10" t="s">
        <v>33</v>
      </c>
    </row>
    <row r="104" spans="1:14" ht="34" customHeight="1">
      <c r="A104" s="9" t="s">
        <v>495</v>
      </c>
      <c r="B104" s="9" t="s">
        <v>496</v>
      </c>
      <c r="C104" s="10" t="s">
        <v>497</v>
      </c>
      <c r="D104" s="10" t="s">
        <v>498</v>
      </c>
      <c r="E104" s="10" t="s">
        <v>499</v>
      </c>
      <c r="F104" s="11">
        <v>830</v>
      </c>
      <c r="G104" s="11">
        <v>47</v>
      </c>
      <c r="H104" s="11">
        <v>40</v>
      </c>
      <c r="I104" s="11">
        <v>52</v>
      </c>
      <c r="J104" s="11">
        <f t="shared" si="2"/>
        <v>5.6626506024096388</v>
      </c>
      <c r="K104" s="10" t="str">
        <f t="shared" si="3"/>
        <v>Higher calorie; High protein density; Moderate carb; High fat</v>
      </c>
      <c r="L104" s="10" t="s">
        <v>500</v>
      </c>
      <c r="M104" s="10" t="s">
        <v>32</v>
      </c>
      <c r="N104" s="10" t="s">
        <v>33</v>
      </c>
    </row>
    <row r="105" spans="1:14" ht="34" customHeight="1">
      <c r="A105" s="9" t="s">
        <v>501</v>
      </c>
      <c r="B105" s="9" t="s">
        <v>83</v>
      </c>
      <c r="C105" s="10" t="s">
        <v>120</v>
      </c>
      <c r="D105" s="10" t="s">
        <v>502</v>
      </c>
      <c r="E105" s="10" t="s">
        <v>503</v>
      </c>
      <c r="F105" s="11">
        <v>863</v>
      </c>
      <c r="G105" s="11">
        <v>39</v>
      </c>
      <c r="H105" s="11">
        <v>69</v>
      </c>
      <c r="I105" s="11">
        <v>49.1</v>
      </c>
      <c r="J105" s="11">
        <f t="shared" si="2"/>
        <v>4.5191193511008105</v>
      </c>
      <c r="K105" s="10" t="str">
        <f t="shared" si="3"/>
        <v>Higher calorie; Moderate protein density; Moderate carb; High fat</v>
      </c>
      <c r="L105" s="10" t="s">
        <v>504</v>
      </c>
      <c r="M105" s="10" t="s">
        <v>32</v>
      </c>
      <c r="N105" s="10" t="s">
        <v>33</v>
      </c>
    </row>
    <row r="106" spans="1:14" ht="34" customHeight="1">
      <c r="A106" s="9" t="s">
        <v>505</v>
      </c>
      <c r="B106" s="9" t="s">
        <v>47</v>
      </c>
      <c r="C106" s="10" t="s">
        <v>506</v>
      </c>
      <c r="D106" s="10" t="s">
        <v>507</v>
      </c>
      <c r="E106" s="10" t="s">
        <v>508</v>
      </c>
      <c r="F106" s="11">
        <v>590</v>
      </c>
      <c r="G106" s="11">
        <v>51</v>
      </c>
      <c r="H106" s="11">
        <v>40</v>
      </c>
      <c r="I106" s="11">
        <v>26</v>
      </c>
      <c r="J106" s="11">
        <f t="shared" si="2"/>
        <v>8.6440677966101696</v>
      </c>
      <c r="K106" s="10" t="str">
        <f t="shared" si="3"/>
        <v>Lower calorie; High protein density; Moderate carb; Moderate fat</v>
      </c>
      <c r="L106" s="10" t="s">
        <v>509</v>
      </c>
      <c r="M106" s="10" t="s">
        <v>32</v>
      </c>
      <c r="N106" s="10" t="s">
        <v>33</v>
      </c>
    </row>
    <row r="107" spans="1:14" ht="34" customHeight="1">
      <c r="A107" s="9" t="s">
        <v>510</v>
      </c>
      <c r="B107" s="9" t="s">
        <v>119</v>
      </c>
      <c r="C107" s="10" t="s">
        <v>328</v>
      </c>
      <c r="D107" s="10" t="s">
        <v>511</v>
      </c>
      <c r="E107" s="10" t="s">
        <v>512</v>
      </c>
      <c r="F107" s="11">
        <v>490</v>
      </c>
      <c r="G107" s="11">
        <v>45</v>
      </c>
      <c r="H107" s="11">
        <v>21</v>
      </c>
      <c r="I107" s="11">
        <v>28</v>
      </c>
      <c r="J107" s="11">
        <f t="shared" si="2"/>
        <v>9.183673469387756</v>
      </c>
      <c r="K107" s="10" t="str">
        <f t="shared" si="3"/>
        <v>Lower calorie; High protein density; Low carb; Moderate fat</v>
      </c>
      <c r="L107" s="10" t="s">
        <v>513</v>
      </c>
      <c r="M107" s="10" t="s">
        <v>32</v>
      </c>
      <c r="N107" s="10" t="s">
        <v>33</v>
      </c>
    </row>
    <row r="108" spans="1:14" ht="34" customHeight="1">
      <c r="A108" s="9" t="s">
        <v>514</v>
      </c>
      <c r="B108" s="9" t="s">
        <v>515</v>
      </c>
      <c r="C108" s="10" t="s">
        <v>144</v>
      </c>
      <c r="D108" s="10" t="s">
        <v>516</v>
      </c>
      <c r="E108" s="10" t="s">
        <v>517</v>
      </c>
      <c r="F108" s="11">
        <v>845</v>
      </c>
      <c r="G108" s="11">
        <v>51</v>
      </c>
      <c r="H108" s="11">
        <v>50</v>
      </c>
      <c r="I108" s="11">
        <v>49.3</v>
      </c>
      <c r="J108" s="11">
        <f t="shared" si="2"/>
        <v>6.0355029585798814</v>
      </c>
      <c r="K108" s="10" t="str">
        <f t="shared" si="3"/>
        <v>Higher calorie; High protein density; Moderate carb; High fat</v>
      </c>
      <c r="L108" s="10" t="s">
        <v>518</v>
      </c>
      <c r="M108" s="10" t="s">
        <v>32</v>
      </c>
      <c r="N108" s="10" t="s">
        <v>33</v>
      </c>
    </row>
    <row r="109" spans="1:14" ht="34" customHeight="1">
      <c r="A109" s="9" t="s">
        <v>519</v>
      </c>
      <c r="B109" s="9" t="s">
        <v>83</v>
      </c>
      <c r="C109" s="10" t="s">
        <v>520</v>
      </c>
      <c r="D109" s="10" t="s">
        <v>521</v>
      </c>
      <c r="E109" s="10" t="s">
        <v>522</v>
      </c>
      <c r="F109" s="11">
        <v>410</v>
      </c>
      <c r="G109" s="11">
        <v>26</v>
      </c>
      <c r="H109" s="11">
        <v>23</v>
      </c>
      <c r="I109" s="11">
        <v>24</v>
      </c>
      <c r="J109" s="11">
        <f t="shared" si="2"/>
        <v>6.3414634146341466</v>
      </c>
      <c r="K109" s="10" t="str">
        <f t="shared" si="3"/>
        <v>Lower calorie; High protein density; Low carb; Moderate fat</v>
      </c>
      <c r="L109" s="10" t="s">
        <v>523</v>
      </c>
      <c r="M109" s="10" t="s">
        <v>32</v>
      </c>
      <c r="N109" s="10" t="s">
        <v>33</v>
      </c>
    </row>
    <row r="110" spans="1:14" ht="34" customHeight="1">
      <c r="A110" s="9" t="s">
        <v>524</v>
      </c>
      <c r="B110" s="9" t="s">
        <v>53</v>
      </c>
      <c r="C110" s="10" t="s">
        <v>520</v>
      </c>
      <c r="D110" s="10" t="s">
        <v>525</v>
      </c>
      <c r="E110" s="10" t="s">
        <v>526</v>
      </c>
      <c r="F110" s="11">
        <v>550</v>
      </c>
      <c r="G110" s="11">
        <v>27</v>
      </c>
      <c r="H110" s="11">
        <v>34</v>
      </c>
      <c r="I110" s="11">
        <v>32</v>
      </c>
      <c r="J110" s="11">
        <f t="shared" si="2"/>
        <v>4.9090909090909092</v>
      </c>
      <c r="K110" s="10" t="str">
        <f t="shared" si="3"/>
        <v>Lower calorie; Moderate protein density; Moderate carb; Moderate fat</v>
      </c>
      <c r="L110" s="10" t="s">
        <v>527</v>
      </c>
      <c r="M110" s="10" t="s">
        <v>32</v>
      </c>
      <c r="N110" s="10" t="s">
        <v>33</v>
      </c>
    </row>
    <row r="111" spans="1:14" ht="34" customHeight="1">
      <c r="A111" s="9" t="s">
        <v>528</v>
      </c>
      <c r="B111" s="9" t="s">
        <v>529</v>
      </c>
      <c r="C111" s="10" t="s">
        <v>144</v>
      </c>
      <c r="D111" s="10" t="s">
        <v>530</v>
      </c>
      <c r="E111" s="10" t="s">
        <v>531</v>
      </c>
      <c r="F111" s="11">
        <v>809</v>
      </c>
      <c r="G111" s="11">
        <v>45</v>
      </c>
      <c r="H111" s="11">
        <v>73</v>
      </c>
      <c r="I111" s="11">
        <v>38.6</v>
      </c>
      <c r="J111" s="11">
        <f t="shared" si="2"/>
        <v>5.5624227441285541</v>
      </c>
      <c r="K111" s="10" t="str">
        <f t="shared" si="3"/>
        <v>Higher calorie; High protein density; High carb; Moderate fat</v>
      </c>
      <c r="L111" s="10" t="s">
        <v>532</v>
      </c>
      <c r="M111" s="10" t="s">
        <v>32</v>
      </c>
      <c r="N111" s="10" t="s">
        <v>33</v>
      </c>
    </row>
    <row r="112" spans="1:14" ht="34" customHeight="1">
      <c r="A112" s="9" t="s">
        <v>533</v>
      </c>
      <c r="B112" s="9" t="s">
        <v>190</v>
      </c>
      <c r="C112" s="10" t="s">
        <v>534</v>
      </c>
      <c r="D112" s="10" t="s">
        <v>535</v>
      </c>
      <c r="E112" s="10" t="s">
        <v>536</v>
      </c>
      <c r="F112" s="11">
        <v>550</v>
      </c>
      <c r="G112" s="11">
        <v>28</v>
      </c>
      <c r="H112" s="11">
        <v>57</v>
      </c>
      <c r="I112" s="11">
        <v>23</v>
      </c>
      <c r="J112" s="11">
        <f t="shared" si="2"/>
        <v>5.0909090909090908</v>
      </c>
      <c r="K112" s="10" t="str">
        <f t="shared" si="3"/>
        <v>Lower calorie; High protein density; Moderate carb; Moderate fat</v>
      </c>
      <c r="L112" s="10" t="s">
        <v>537</v>
      </c>
      <c r="M112" s="10" t="s">
        <v>32</v>
      </c>
      <c r="N112" s="10" t="s">
        <v>33</v>
      </c>
    </row>
    <row r="113" spans="1:14" ht="34" customHeight="1">
      <c r="A113" s="9" t="s">
        <v>538</v>
      </c>
      <c r="B113" s="9" t="s">
        <v>261</v>
      </c>
      <c r="C113" s="10" t="s">
        <v>539</v>
      </c>
      <c r="D113" s="10" t="s">
        <v>540</v>
      </c>
      <c r="E113" s="10" t="s">
        <v>541</v>
      </c>
      <c r="F113" s="11">
        <v>390</v>
      </c>
      <c r="G113" s="11">
        <v>25</v>
      </c>
      <c r="H113" s="11">
        <v>43</v>
      </c>
      <c r="I113" s="11">
        <v>13</v>
      </c>
      <c r="J113" s="11">
        <f t="shared" si="2"/>
        <v>6.4102564102564097</v>
      </c>
      <c r="K113" s="10" t="str">
        <f t="shared" si="3"/>
        <v>Lower calorie; High protein density; Moderate carb; Low fat</v>
      </c>
      <c r="L113" s="10" t="s">
        <v>542</v>
      </c>
      <c r="M113" s="10" t="s">
        <v>32</v>
      </c>
      <c r="N113" s="10" t="s">
        <v>33</v>
      </c>
    </row>
    <row r="114" spans="1:14" ht="34" customHeight="1">
      <c r="A114" s="9" t="s">
        <v>543</v>
      </c>
      <c r="B114" s="9" t="s">
        <v>350</v>
      </c>
      <c r="C114" s="10" t="s">
        <v>544</v>
      </c>
      <c r="D114" s="10" t="s">
        <v>545</v>
      </c>
      <c r="E114" s="10" t="s">
        <v>546</v>
      </c>
      <c r="F114" s="11">
        <v>430</v>
      </c>
      <c r="G114" s="11">
        <v>48</v>
      </c>
      <c r="H114" s="11">
        <v>27</v>
      </c>
      <c r="I114" s="11">
        <v>17</v>
      </c>
      <c r="J114" s="11">
        <f t="shared" si="2"/>
        <v>11.162790697674419</v>
      </c>
      <c r="K114" s="10" t="str">
        <f t="shared" si="3"/>
        <v>Lower calorie; High protein density; Low carb; Low fat</v>
      </c>
      <c r="L114" s="10" t="s">
        <v>547</v>
      </c>
      <c r="M114" s="10" t="s">
        <v>32</v>
      </c>
      <c r="N114" s="10" t="s">
        <v>33</v>
      </c>
    </row>
    <row r="115" spans="1:14" ht="34" customHeight="1">
      <c r="A115" s="9" t="s">
        <v>548</v>
      </c>
      <c r="B115" s="9" t="s">
        <v>83</v>
      </c>
      <c r="C115" s="10" t="s">
        <v>120</v>
      </c>
      <c r="D115" s="10" t="s">
        <v>549</v>
      </c>
      <c r="E115" s="10" t="s">
        <v>550</v>
      </c>
      <c r="F115" s="11">
        <v>970</v>
      </c>
      <c r="G115" s="11">
        <v>36</v>
      </c>
      <c r="H115" s="11">
        <v>107</v>
      </c>
      <c r="I115" s="11">
        <v>43</v>
      </c>
      <c r="J115" s="11">
        <f t="shared" si="2"/>
        <v>3.7113402061855671</v>
      </c>
      <c r="K115" s="10" t="str">
        <f t="shared" si="3"/>
        <v>Higher calorie; Moderate protein density; High carb; High fat</v>
      </c>
      <c r="L115" s="10" t="s">
        <v>551</v>
      </c>
      <c r="M115" s="10" t="s">
        <v>32</v>
      </c>
      <c r="N115" s="10" t="s">
        <v>33</v>
      </c>
    </row>
    <row r="116" spans="1:14" ht="34" customHeight="1">
      <c r="A116" s="9" t="s">
        <v>552</v>
      </c>
      <c r="B116" s="9" t="s">
        <v>143</v>
      </c>
      <c r="C116" s="10" t="s">
        <v>144</v>
      </c>
      <c r="D116" s="10" t="s">
        <v>553</v>
      </c>
      <c r="E116" s="10" t="s">
        <v>554</v>
      </c>
      <c r="F116" s="11">
        <v>784</v>
      </c>
      <c r="G116" s="11">
        <v>46</v>
      </c>
      <c r="H116" s="11">
        <v>44</v>
      </c>
      <c r="I116" s="11">
        <v>46.3</v>
      </c>
      <c r="J116" s="11">
        <f t="shared" si="2"/>
        <v>5.8673469387755102</v>
      </c>
      <c r="K116" s="10" t="str">
        <f t="shared" si="3"/>
        <v>Moderate calorie; High protein density; Moderate carb; High fat</v>
      </c>
      <c r="L116" s="10" t="s">
        <v>555</v>
      </c>
      <c r="M116" s="10" t="s">
        <v>32</v>
      </c>
      <c r="N116" s="10" t="s">
        <v>33</v>
      </c>
    </row>
    <row r="117" spans="1:14" ht="34" customHeight="1">
      <c r="A117" s="9" t="s">
        <v>556</v>
      </c>
      <c r="B117" s="9" t="s">
        <v>113</v>
      </c>
      <c r="C117" s="10" t="s">
        <v>262</v>
      </c>
      <c r="D117" s="10" t="s">
        <v>557</v>
      </c>
      <c r="E117" s="10" t="s">
        <v>558</v>
      </c>
      <c r="F117" s="11">
        <v>1200</v>
      </c>
      <c r="G117" s="11">
        <v>58</v>
      </c>
      <c r="H117" s="11">
        <v>91</v>
      </c>
      <c r="I117" s="11">
        <v>66</v>
      </c>
      <c r="J117" s="11">
        <f t="shared" si="2"/>
        <v>4.833333333333333</v>
      </c>
      <c r="K117" s="10" t="str">
        <f t="shared" si="3"/>
        <v>Higher calorie; Moderate protein density; High carb; High fat</v>
      </c>
      <c r="L117" s="10" t="s">
        <v>559</v>
      </c>
      <c r="M117" s="10" t="s">
        <v>32</v>
      </c>
      <c r="N117" s="10" t="s">
        <v>33</v>
      </c>
    </row>
    <row r="118" spans="1:14" ht="34" customHeight="1">
      <c r="A118" s="9" t="s">
        <v>560</v>
      </c>
      <c r="B118" s="9" t="s">
        <v>149</v>
      </c>
      <c r="C118" s="10" t="s">
        <v>561</v>
      </c>
      <c r="D118" s="10" t="s">
        <v>562</v>
      </c>
      <c r="E118" s="10" t="s">
        <v>563</v>
      </c>
      <c r="F118" s="11">
        <v>1013</v>
      </c>
      <c r="G118" s="11">
        <v>51</v>
      </c>
      <c r="H118" s="11">
        <v>25</v>
      </c>
      <c r="I118" s="11">
        <v>78</v>
      </c>
      <c r="J118" s="11">
        <f t="shared" si="2"/>
        <v>5.034550839091807</v>
      </c>
      <c r="K118" s="10" t="str">
        <f t="shared" si="3"/>
        <v>Higher calorie; High protein density; Low carb; High fat</v>
      </c>
      <c r="L118" s="10" t="s">
        <v>564</v>
      </c>
      <c r="M118" s="10" t="s">
        <v>32</v>
      </c>
      <c r="N118" s="10" t="s">
        <v>33</v>
      </c>
    </row>
    <row r="119" spans="1:14" ht="34" customHeight="1">
      <c r="A119" s="9" t="s">
        <v>565</v>
      </c>
      <c r="B119" s="9" t="s">
        <v>47</v>
      </c>
      <c r="C119" s="10" t="s">
        <v>120</v>
      </c>
      <c r="D119" s="10" t="s">
        <v>566</v>
      </c>
      <c r="E119" s="10" t="s">
        <v>567</v>
      </c>
      <c r="F119" s="11">
        <v>701</v>
      </c>
      <c r="G119" s="11">
        <v>35</v>
      </c>
      <c r="H119" s="11">
        <v>68</v>
      </c>
      <c r="I119" s="11">
        <v>30.6</v>
      </c>
      <c r="J119" s="11">
        <f t="shared" si="2"/>
        <v>4.9928673323823105</v>
      </c>
      <c r="K119" s="10" t="str">
        <f t="shared" si="3"/>
        <v>Moderate calorie; Moderate protein density; Moderate carb; Moderate fat</v>
      </c>
      <c r="L119" s="10" t="s">
        <v>309</v>
      </c>
      <c r="M119" s="10" t="s">
        <v>32</v>
      </c>
      <c r="N119" s="10" t="s">
        <v>33</v>
      </c>
    </row>
    <row r="120" spans="1:14" ht="34" customHeight="1">
      <c r="A120" s="9" t="s">
        <v>568</v>
      </c>
      <c r="B120" s="9" t="s">
        <v>89</v>
      </c>
      <c r="C120" s="10" t="s">
        <v>569</v>
      </c>
      <c r="D120" s="10" t="s">
        <v>570</v>
      </c>
      <c r="E120" s="10" t="s">
        <v>571</v>
      </c>
      <c r="F120" s="11">
        <v>810</v>
      </c>
      <c r="G120" s="11">
        <v>21</v>
      </c>
      <c r="H120" s="11">
        <v>85</v>
      </c>
      <c r="I120" s="11">
        <v>44</v>
      </c>
      <c r="J120" s="11">
        <f t="shared" si="2"/>
        <v>2.5925925925925926</v>
      </c>
      <c r="K120" s="10" t="str">
        <f t="shared" si="3"/>
        <v>Higher calorie; Low protein density; High carb; High fat</v>
      </c>
      <c r="L120" s="10" t="s">
        <v>572</v>
      </c>
      <c r="M120" s="10" t="s">
        <v>32</v>
      </c>
      <c r="N120" s="10" t="s">
        <v>33</v>
      </c>
    </row>
    <row r="121" spans="1:14" ht="34" customHeight="1">
      <c r="A121" s="9" t="s">
        <v>573</v>
      </c>
      <c r="B121" s="9" t="s">
        <v>340</v>
      </c>
      <c r="C121" s="10" t="s">
        <v>574</v>
      </c>
      <c r="D121" s="10" t="s">
        <v>575</v>
      </c>
      <c r="E121" s="10" t="s">
        <v>576</v>
      </c>
      <c r="F121" s="11">
        <v>430</v>
      </c>
      <c r="G121" s="11">
        <v>13</v>
      </c>
      <c r="H121" s="11">
        <v>24</v>
      </c>
      <c r="I121" s="11">
        <v>33</v>
      </c>
      <c r="J121" s="11">
        <f t="shared" si="2"/>
        <v>3.0232558139534884</v>
      </c>
      <c r="K121" s="10" t="str">
        <f t="shared" si="3"/>
        <v>Lower calorie; Low protein density; Low carb; Moderate fat</v>
      </c>
      <c r="L121" s="10" t="s">
        <v>577</v>
      </c>
      <c r="M121" s="10" t="s">
        <v>32</v>
      </c>
      <c r="N121" s="10" t="s">
        <v>33</v>
      </c>
    </row>
    <row r="122" spans="1:14" ht="34" customHeight="1">
      <c r="A122" s="9" t="s">
        <v>578</v>
      </c>
      <c r="B122" s="9" t="s">
        <v>162</v>
      </c>
      <c r="C122" s="10" t="s">
        <v>464</v>
      </c>
      <c r="D122" s="10" t="s">
        <v>579</v>
      </c>
      <c r="E122" s="10" t="s">
        <v>580</v>
      </c>
      <c r="F122" s="11">
        <v>510</v>
      </c>
      <c r="G122" s="11">
        <v>39</v>
      </c>
      <c r="H122" s="11">
        <v>14</v>
      </c>
      <c r="I122" s="11">
        <v>36</v>
      </c>
      <c r="J122" s="11">
        <f t="shared" si="2"/>
        <v>7.6470588235294121</v>
      </c>
      <c r="K122" s="10" t="str">
        <f t="shared" si="3"/>
        <v>Lower calorie; High protein density; Low carb; Moderate fat</v>
      </c>
      <c r="L122" s="10" t="s">
        <v>581</v>
      </c>
      <c r="M122" s="10" t="s">
        <v>32</v>
      </c>
      <c r="N122" s="10" t="s">
        <v>33</v>
      </c>
    </row>
    <row r="123" spans="1:14" ht="34" customHeight="1">
      <c r="A123" s="9" t="s">
        <v>582</v>
      </c>
      <c r="B123" s="9" t="s">
        <v>367</v>
      </c>
      <c r="C123" s="10" t="s">
        <v>42</v>
      </c>
      <c r="D123" s="10" t="s">
        <v>583</v>
      </c>
      <c r="E123" s="10" t="s">
        <v>584</v>
      </c>
      <c r="F123" s="11">
        <v>750</v>
      </c>
      <c r="G123" s="11">
        <v>33</v>
      </c>
      <c r="H123" s="11">
        <v>66</v>
      </c>
      <c r="I123" s="11">
        <v>35</v>
      </c>
      <c r="J123" s="11">
        <f t="shared" si="2"/>
        <v>4.3999999999999995</v>
      </c>
      <c r="K123" s="10" t="str">
        <f t="shared" si="3"/>
        <v>Moderate calorie; Moderate protein density; Moderate carb; Moderate fat</v>
      </c>
      <c r="L123" s="10" t="s">
        <v>585</v>
      </c>
      <c r="M123" s="10" t="s">
        <v>32</v>
      </c>
      <c r="N123" s="10" t="s">
        <v>33</v>
      </c>
    </row>
    <row r="124" spans="1:14" ht="34" customHeight="1">
      <c r="A124" s="9" t="s">
        <v>586</v>
      </c>
      <c r="B124" s="9" t="s">
        <v>367</v>
      </c>
      <c r="C124" s="10" t="s">
        <v>587</v>
      </c>
      <c r="D124" s="10" t="s">
        <v>588</v>
      </c>
      <c r="E124" s="10" t="s">
        <v>589</v>
      </c>
      <c r="F124" s="11">
        <v>950</v>
      </c>
      <c r="G124" s="11">
        <v>43</v>
      </c>
      <c r="H124" s="11">
        <v>113</v>
      </c>
      <c r="I124" s="11">
        <v>34</v>
      </c>
      <c r="J124" s="11">
        <f t="shared" si="2"/>
        <v>4.526315789473685</v>
      </c>
      <c r="K124" s="10" t="str">
        <f t="shared" si="3"/>
        <v>Higher calorie; Moderate protein density; High carb; Moderate fat</v>
      </c>
      <c r="L124" s="10" t="s">
        <v>590</v>
      </c>
      <c r="M124" s="10" t="s">
        <v>32</v>
      </c>
      <c r="N124" s="10" t="s">
        <v>33</v>
      </c>
    </row>
    <row r="125" spans="1:14" ht="34" customHeight="1">
      <c r="A125" s="9" t="s">
        <v>591</v>
      </c>
      <c r="B125" s="9" t="s">
        <v>113</v>
      </c>
      <c r="C125" s="10" t="s">
        <v>96</v>
      </c>
      <c r="D125" s="10" t="s">
        <v>592</v>
      </c>
      <c r="E125" s="10" t="s">
        <v>593</v>
      </c>
      <c r="F125" s="11">
        <v>800</v>
      </c>
      <c r="G125" s="11">
        <v>24</v>
      </c>
      <c r="H125" s="11">
        <v>82</v>
      </c>
      <c r="I125" s="11">
        <v>44</v>
      </c>
      <c r="J125" s="11">
        <f t="shared" si="2"/>
        <v>3</v>
      </c>
      <c r="K125" s="10" t="str">
        <f t="shared" si="3"/>
        <v>Higher calorie; Low protein density; High carb; High fat</v>
      </c>
      <c r="L125" s="10" t="s">
        <v>594</v>
      </c>
      <c r="M125" s="10" t="s">
        <v>32</v>
      </c>
      <c r="N125" s="10" t="s">
        <v>33</v>
      </c>
    </row>
    <row r="126" spans="1:14" ht="34" customHeight="1">
      <c r="A126" s="9" t="s">
        <v>595</v>
      </c>
      <c r="B126" s="9" t="s">
        <v>113</v>
      </c>
      <c r="C126" s="10" t="s">
        <v>596</v>
      </c>
      <c r="D126" s="10" t="s">
        <v>597</v>
      </c>
      <c r="E126" s="10" t="s">
        <v>598</v>
      </c>
      <c r="F126" s="11">
        <v>540</v>
      </c>
      <c r="G126" s="11">
        <v>50</v>
      </c>
      <c r="H126" s="11">
        <v>34</v>
      </c>
      <c r="I126" s="11">
        <v>22</v>
      </c>
      <c r="J126" s="11">
        <f t="shared" si="2"/>
        <v>9.2592592592592595</v>
      </c>
      <c r="K126" s="10" t="str">
        <f t="shared" si="3"/>
        <v>Lower calorie; High protein density; Moderate carb; Moderate fat</v>
      </c>
      <c r="L126" s="10" t="s">
        <v>599</v>
      </c>
      <c r="M126" s="10" t="s">
        <v>32</v>
      </c>
      <c r="N126" s="10" t="s">
        <v>33</v>
      </c>
    </row>
    <row r="127" spans="1:14" ht="34" customHeight="1">
      <c r="A127" s="9" t="s">
        <v>600</v>
      </c>
      <c r="B127" s="9" t="s">
        <v>77</v>
      </c>
      <c r="C127" s="10" t="s">
        <v>197</v>
      </c>
      <c r="D127" s="10" t="s">
        <v>601</v>
      </c>
      <c r="E127" s="10" t="s">
        <v>602</v>
      </c>
      <c r="F127" s="11">
        <v>585</v>
      </c>
      <c r="G127" s="11">
        <v>52</v>
      </c>
      <c r="H127" s="11">
        <v>36</v>
      </c>
      <c r="I127" s="11">
        <v>26.5</v>
      </c>
      <c r="J127" s="11">
        <f t="shared" si="2"/>
        <v>8.8888888888888893</v>
      </c>
      <c r="K127" s="10" t="str">
        <f t="shared" si="3"/>
        <v>Lower calorie; High protein density; Moderate carb; Moderate fat</v>
      </c>
      <c r="L127" s="10" t="s">
        <v>603</v>
      </c>
      <c r="M127" s="10" t="s">
        <v>32</v>
      </c>
      <c r="N127" s="10" t="s">
        <v>33</v>
      </c>
    </row>
    <row r="128" spans="1:14" ht="34" customHeight="1">
      <c r="A128" s="9" t="s">
        <v>604</v>
      </c>
      <c r="B128" s="9" t="s">
        <v>605</v>
      </c>
      <c r="C128" s="10" t="s">
        <v>28</v>
      </c>
      <c r="D128" s="10" t="s">
        <v>606</v>
      </c>
      <c r="E128" s="10" t="s">
        <v>607</v>
      </c>
      <c r="F128" s="11">
        <v>1010</v>
      </c>
      <c r="G128" s="11">
        <v>34</v>
      </c>
      <c r="H128" s="11">
        <v>139</v>
      </c>
      <c r="I128" s="11">
        <v>36</v>
      </c>
      <c r="J128" s="11">
        <f t="shared" si="2"/>
        <v>3.3663366336633667</v>
      </c>
      <c r="K128" s="10" t="str">
        <f t="shared" si="3"/>
        <v>Higher calorie; Low protein density; High carb; Moderate fat</v>
      </c>
      <c r="L128" s="10" t="s">
        <v>31</v>
      </c>
      <c r="M128" s="10" t="s">
        <v>32</v>
      </c>
      <c r="N128" s="10" t="s">
        <v>33</v>
      </c>
    </row>
    <row r="129" spans="1:14" ht="34" customHeight="1">
      <c r="A129" s="9" t="s">
        <v>608</v>
      </c>
      <c r="B129" s="9" t="s">
        <v>137</v>
      </c>
      <c r="C129" s="10" t="s">
        <v>609</v>
      </c>
      <c r="D129" s="10" t="s">
        <v>610</v>
      </c>
      <c r="E129" s="10" t="s">
        <v>611</v>
      </c>
      <c r="F129" s="11">
        <v>760</v>
      </c>
      <c r="G129" s="11">
        <v>48</v>
      </c>
      <c r="H129" s="11">
        <v>20</v>
      </c>
      <c r="I129" s="11">
        <v>55</v>
      </c>
      <c r="J129" s="11">
        <f t="shared" si="2"/>
        <v>6.3157894736842106</v>
      </c>
      <c r="K129" s="10" t="str">
        <f t="shared" si="3"/>
        <v>Moderate calorie; High protein density; Low carb; High fat</v>
      </c>
      <c r="L129" s="10" t="s">
        <v>612</v>
      </c>
      <c r="M129" s="10" t="s">
        <v>32</v>
      </c>
      <c r="N129" s="10" t="s">
        <v>33</v>
      </c>
    </row>
    <row r="130" spans="1:14" ht="34" customHeight="1">
      <c r="A130" s="9" t="s">
        <v>613</v>
      </c>
      <c r="B130" s="9" t="s">
        <v>83</v>
      </c>
      <c r="C130" s="10" t="s">
        <v>614</v>
      </c>
      <c r="D130" s="10" t="s">
        <v>615</v>
      </c>
      <c r="E130" s="10" t="s">
        <v>616</v>
      </c>
      <c r="F130" s="11">
        <v>580</v>
      </c>
      <c r="G130" s="11">
        <v>52</v>
      </c>
      <c r="H130" s="11">
        <v>33</v>
      </c>
      <c r="I130" s="11">
        <v>25</v>
      </c>
      <c r="J130" s="11">
        <f t="shared" si="2"/>
        <v>8.9655172413793096</v>
      </c>
      <c r="K130" s="10" t="str">
        <f t="shared" si="3"/>
        <v>Lower calorie; High protein density; Moderate carb; Moderate fat</v>
      </c>
      <c r="L130" s="10" t="s">
        <v>617</v>
      </c>
      <c r="M130" s="10" t="s">
        <v>32</v>
      </c>
      <c r="N130" s="10" t="s">
        <v>33</v>
      </c>
    </row>
    <row r="131" spans="1:14" ht="34" customHeight="1">
      <c r="A131" s="9" t="s">
        <v>618</v>
      </c>
      <c r="B131" s="9" t="s">
        <v>619</v>
      </c>
      <c r="C131" s="10" t="s">
        <v>620</v>
      </c>
      <c r="D131" s="10" t="s">
        <v>621</v>
      </c>
      <c r="E131" s="10" t="s">
        <v>622</v>
      </c>
      <c r="F131" s="11">
        <v>840</v>
      </c>
      <c r="G131" s="11">
        <v>60</v>
      </c>
      <c r="H131" s="11">
        <v>16</v>
      </c>
      <c r="I131" s="11">
        <v>61</v>
      </c>
      <c r="J131" s="11">
        <f t="shared" si="2"/>
        <v>7.1428571428571423</v>
      </c>
      <c r="K131" s="10" t="str">
        <f t="shared" si="3"/>
        <v>Higher calorie; High protein density; Low carb; High fat</v>
      </c>
      <c r="L131" s="10" t="s">
        <v>623</v>
      </c>
      <c r="M131" s="10" t="s">
        <v>32</v>
      </c>
      <c r="N131" s="10" t="s">
        <v>33</v>
      </c>
    </row>
    <row r="132" spans="1:14" ht="34" customHeight="1">
      <c r="A132" s="9" t="s">
        <v>624</v>
      </c>
      <c r="B132" s="9" t="s">
        <v>65</v>
      </c>
      <c r="C132" s="10" t="s">
        <v>625</v>
      </c>
      <c r="D132" s="10" t="s">
        <v>626</v>
      </c>
      <c r="E132" s="10" t="s">
        <v>627</v>
      </c>
      <c r="F132" s="11">
        <v>760</v>
      </c>
      <c r="G132" s="11">
        <v>44</v>
      </c>
      <c r="H132" s="11">
        <v>64</v>
      </c>
      <c r="I132" s="11">
        <v>36</v>
      </c>
      <c r="J132" s="11">
        <f t="shared" si="2"/>
        <v>5.7894736842105265</v>
      </c>
      <c r="K132" s="10" t="str">
        <f t="shared" si="3"/>
        <v>Moderate calorie; High protein density; Moderate carb; Moderate fat</v>
      </c>
      <c r="L132" s="10" t="s">
        <v>628</v>
      </c>
      <c r="M132" s="10" t="s">
        <v>32</v>
      </c>
      <c r="N132" s="10" t="s">
        <v>33</v>
      </c>
    </row>
    <row r="133" spans="1:14" ht="34" customHeight="1">
      <c r="A133" s="9" t="s">
        <v>629</v>
      </c>
      <c r="B133" s="9" t="s">
        <v>630</v>
      </c>
      <c r="C133" s="10" t="s">
        <v>631</v>
      </c>
      <c r="D133" s="10" t="s">
        <v>632</v>
      </c>
      <c r="E133" s="10" t="s">
        <v>633</v>
      </c>
      <c r="F133" s="11">
        <v>450</v>
      </c>
      <c r="G133" s="11">
        <v>32</v>
      </c>
      <c r="H133" s="11">
        <v>25</v>
      </c>
      <c r="I133" s="11">
        <v>25</v>
      </c>
      <c r="J133" s="11">
        <f t="shared" si="2"/>
        <v>7.1111111111111107</v>
      </c>
      <c r="K133" s="10" t="str">
        <f t="shared" si="3"/>
        <v>Lower calorie; High protein density; Low carb; Moderate fat</v>
      </c>
      <c r="L133" s="10" t="s">
        <v>634</v>
      </c>
      <c r="M133" s="10" t="s">
        <v>32</v>
      </c>
      <c r="N133" s="10" t="s">
        <v>33</v>
      </c>
    </row>
    <row r="134" spans="1:14" ht="34" customHeight="1">
      <c r="A134" s="9" t="s">
        <v>635</v>
      </c>
      <c r="B134" s="9" t="s">
        <v>619</v>
      </c>
      <c r="C134" s="10" t="s">
        <v>636</v>
      </c>
      <c r="D134" s="10" t="s">
        <v>637</v>
      </c>
      <c r="E134" s="10" t="s">
        <v>638</v>
      </c>
      <c r="F134" s="11">
        <v>740</v>
      </c>
      <c r="G134" s="11">
        <v>42</v>
      </c>
      <c r="H134" s="11">
        <v>35</v>
      </c>
      <c r="I134" s="11">
        <v>50</v>
      </c>
      <c r="J134" s="11">
        <f t="shared" si="2"/>
        <v>5.6756756756756763</v>
      </c>
      <c r="K134" s="10" t="str">
        <f t="shared" si="3"/>
        <v>Moderate calorie; High protein density; Moderate carb; High fat</v>
      </c>
      <c r="L134" s="10" t="s">
        <v>639</v>
      </c>
      <c r="M134" s="10" t="s">
        <v>32</v>
      </c>
      <c r="N134" s="10" t="s">
        <v>33</v>
      </c>
    </row>
    <row r="135" spans="1:14" ht="34" customHeight="1">
      <c r="A135" s="9" t="s">
        <v>640</v>
      </c>
      <c r="B135" s="9" t="s">
        <v>137</v>
      </c>
      <c r="C135" s="10" t="s">
        <v>96</v>
      </c>
      <c r="D135" s="10" t="s">
        <v>641</v>
      </c>
      <c r="E135" s="10" t="s">
        <v>642</v>
      </c>
      <c r="F135" s="11">
        <v>690</v>
      </c>
      <c r="G135" s="11">
        <v>30</v>
      </c>
      <c r="H135" s="11">
        <v>70</v>
      </c>
      <c r="I135" s="11">
        <v>31</v>
      </c>
      <c r="J135" s="11">
        <f t="shared" si="2"/>
        <v>4.3478260869565215</v>
      </c>
      <c r="K135" s="10" t="str">
        <f t="shared" si="3"/>
        <v>Moderate calorie; Moderate protein density; High carb; Moderate fat</v>
      </c>
      <c r="L135" s="10" t="s">
        <v>643</v>
      </c>
      <c r="M135" s="10" t="s">
        <v>32</v>
      </c>
      <c r="N135" s="10" t="s">
        <v>33</v>
      </c>
    </row>
    <row r="136" spans="1:14" ht="34" customHeight="1">
      <c r="A136" s="9" t="s">
        <v>644</v>
      </c>
      <c r="B136" s="9" t="s">
        <v>119</v>
      </c>
      <c r="C136" s="10" t="s">
        <v>226</v>
      </c>
      <c r="D136" s="10" t="s">
        <v>645</v>
      </c>
      <c r="E136" s="10" t="s">
        <v>646</v>
      </c>
      <c r="F136" s="11">
        <v>920</v>
      </c>
      <c r="G136" s="11">
        <v>40</v>
      </c>
      <c r="H136" s="11">
        <v>67</v>
      </c>
      <c r="I136" s="11">
        <v>55</v>
      </c>
      <c r="J136" s="11">
        <f t="shared" ref="J136:J199" si="4">IF(OR(F136="",G136=""),"",G136/F136*100)</f>
        <v>4.3478260869565215</v>
      </c>
      <c r="K136" s="10" t="str">
        <f t="shared" ref="K136:K199" si="5">IF(OR(F136="",G136="",H136="",I136=""),"n.a.",IF(F136&lt;=600,"Lower calorie; ",IF(F136&gt;=800,"Higher calorie; ","Moderate calorie; "))&amp;IF(G136/F136*100&gt;=5,"High protein density; ",IF(G136/F136*100&gt;=3.5,"Moderate protein density; ","Low protein density; "))&amp;IF(H136&lt;=30,"Low carb; ",IF(H136&gt;=70,"High carb; ","Moderate carb; "))&amp;IF(I136&lt;=20,"Low fat",IF(I136&gt;=40,"High fat","Moderate fat")))</f>
        <v>Higher calorie; Moderate protein density; Moderate carb; High fat</v>
      </c>
      <c r="L136" s="10" t="s">
        <v>647</v>
      </c>
      <c r="M136" s="10" t="s">
        <v>32</v>
      </c>
      <c r="N136" s="10" t="s">
        <v>33</v>
      </c>
    </row>
    <row r="137" spans="1:14" ht="34" customHeight="1">
      <c r="A137" s="9" t="s">
        <v>648</v>
      </c>
      <c r="B137" s="9" t="s">
        <v>221</v>
      </c>
      <c r="C137" s="10" t="s">
        <v>520</v>
      </c>
      <c r="D137" s="10" t="s">
        <v>649</v>
      </c>
      <c r="E137" s="10" t="s">
        <v>650</v>
      </c>
      <c r="F137" s="11">
        <v>520</v>
      </c>
      <c r="G137" s="11">
        <v>41</v>
      </c>
      <c r="H137" s="11">
        <v>35</v>
      </c>
      <c r="I137" s="11">
        <v>24</v>
      </c>
      <c r="J137" s="11">
        <f t="shared" si="4"/>
        <v>7.8846153846153841</v>
      </c>
      <c r="K137" s="10" t="str">
        <f t="shared" si="5"/>
        <v>Lower calorie; High protein density; Moderate carb; Moderate fat</v>
      </c>
      <c r="L137" s="10" t="s">
        <v>651</v>
      </c>
      <c r="M137" s="10" t="s">
        <v>32</v>
      </c>
      <c r="N137" s="10" t="s">
        <v>33</v>
      </c>
    </row>
    <row r="138" spans="1:14" ht="34" customHeight="1">
      <c r="A138" s="9" t="s">
        <v>652</v>
      </c>
      <c r="B138" s="9" t="s">
        <v>184</v>
      </c>
      <c r="C138" s="10" t="s">
        <v>653</v>
      </c>
      <c r="D138" s="10" t="s">
        <v>654</v>
      </c>
      <c r="E138" s="10" t="s">
        <v>655</v>
      </c>
      <c r="F138" s="11">
        <v>510</v>
      </c>
      <c r="G138" s="11">
        <v>40</v>
      </c>
      <c r="H138" s="11">
        <v>58</v>
      </c>
      <c r="I138" s="11">
        <v>22</v>
      </c>
      <c r="J138" s="11">
        <f t="shared" si="4"/>
        <v>7.8431372549019605</v>
      </c>
      <c r="K138" s="10" t="str">
        <f t="shared" si="5"/>
        <v>Lower calorie; High protein density; Moderate carb; Moderate fat</v>
      </c>
      <c r="L138" s="10" t="s">
        <v>656</v>
      </c>
      <c r="M138" s="10" t="s">
        <v>32</v>
      </c>
      <c r="N138" s="10" t="s">
        <v>33</v>
      </c>
    </row>
    <row r="139" spans="1:14" ht="34" customHeight="1">
      <c r="A139" s="9" t="s">
        <v>657</v>
      </c>
      <c r="B139" s="9" t="s">
        <v>630</v>
      </c>
      <c r="C139" s="10" t="s">
        <v>120</v>
      </c>
      <c r="D139" s="10" t="s">
        <v>658</v>
      </c>
      <c r="E139" s="10" t="s">
        <v>659</v>
      </c>
      <c r="F139" s="11">
        <v>1260</v>
      </c>
      <c r="G139" s="11">
        <v>42</v>
      </c>
      <c r="H139" s="11">
        <v>46</v>
      </c>
      <c r="I139" s="11">
        <v>98</v>
      </c>
      <c r="J139" s="11">
        <f t="shared" si="4"/>
        <v>3.3333333333333335</v>
      </c>
      <c r="K139" s="10" t="str">
        <f t="shared" si="5"/>
        <v>Higher calorie; Low protein density; Moderate carb; High fat</v>
      </c>
      <c r="L139" s="10" t="s">
        <v>660</v>
      </c>
      <c r="M139" s="10" t="s">
        <v>32</v>
      </c>
      <c r="N139" s="10" t="s">
        <v>33</v>
      </c>
    </row>
    <row r="140" spans="1:14" ht="34" customHeight="1">
      <c r="A140" s="9" t="s">
        <v>661</v>
      </c>
      <c r="B140" s="9" t="s">
        <v>515</v>
      </c>
      <c r="C140" s="10" t="s">
        <v>120</v>
      </c>
      <c r="D140" s="10" t="s">
        <v>662</v>
      </c>
      <c r="E140" s="10" t="s">
        <v>663</v>
      </c>
      <c r="F140" s="11">
        <v>731</v>
      </c>
      <c r="G140" s="11">
        <v>37</v>
      </c>
      <c r="H140" s="11">
        <v>58</v>
      </c>
      <c r="I140" s="11">
        <v>38.1</v>
      </c>
      <c r="J140" s="11">
        <f t="shared" si="4"/>
        <v>5.0615595075239401</v>
      </c>
      <c r="K140" s="10" t="str">
        <f t="shared" si="5"/>
        <v>Moderate calorie; High protein density; Moderate carb; Moderate fat</v>
      </c>
      <c r="L140" s="10" t="s">
        <v>309</v>
      </c>
      <c r="M140" s="10" t="s">
        <v>32</v>
      </c>
      <c r="N140" s="10" t="s">
        <v>33</v>
      </c>
    </row>
    <row r="141" spans="1:14" ht="34" customHeight="1">
      <c r="A141" s="9" t="s">
        <v>664</v>
      </c>
      <c r="B141" s="9" t="s">
        <v>53</v>
      </c>
      <c r="C141" s="10" t="s">
        <v>78</v>
      </c>
      <c r="D141" s="10" t="s">
        <v>665</v>
      </c>
      <c r="E141" s="10" t="s">
        <v>666</v>
      </c>
      <c r="F141" s="11">
        <v>600</v>
      </c>
      <c r="G141" s="11">
        <v>26</v>
      </c>
      <c r="H141" s="11">
        <v>68</v>
      </c>
      <c r="I141" s="11">
        <v>23</v>
      </c>
      <c r="J141" s="11">
        <f t="shared" si="4"/>
        <v>4.3333333333333339</v>
      </c>
      <c r="K141" s="10" t="str">
        <f t="shared" si="5"/>
        <v>Lower calorie; Moderate protein density; Moderate carb; Moderate fat</v>
      </c>
      <c r="L141" s="10" t="s">
        <v>667</v>
      </c>
      <c r="M141" s="10" t="s">
        <v>32</v>
      </c>
      <c r="N141" s="10" t="s">
        <v>33</v>
      </c>
    </row>
    <row r="142" spans="1:14" ht="34" customHeight="1">
      <c r="A142" s="9" t="s">
        <v>668</v>
      </c>
      <c r="B142" s="9" t="s">
        <v>53</v>
      </c>
      <c r="C142" s="10" t="s">
        <v>483</v>
      </c>
      <c r="D142" s="10" t="s">
        <v>669</v>
      </c>
      <c r="E142" s="10" t="s">
        <v>670</v>
      </c>
      <c r="F142" s="11">
        <v>760</v>
      </c>
      <c r="G142" s="11">
        <v>10</v>
      </c>
      <c r="H142" s="11">
        <v>109</v>
      </c>
      <c r="I142" s="11">
        <v>30</v>
      </c>
      <c r="J142" s="11">
        <f t="shared" si="4"/>
        <v>1.3157894736842104</v>
      </c>
      <c r="K142" s="10" t="str">
        <f t="shared" si="5"/>
        <v>Moderate calorie; Low protein density; High carb; Moderate fat</v>
      </c>
      <c r="L142" s="10" t="s">
        <v>671</v>
      </c>
      <c r="M142" s="10" t="s">
        <v>32</v>
      </c>
      <c r="N142" s="10" t="s">
        <v>33</v>
      </c>
    </row>
    <row r="143" spans="1:14" ht="34" customHeight="1">
      <c r="A143" s="9" t="s">
        <v>672</v>
      </c>
      <c r="B143" s="9" t="s">
        <v>95</v>
      </c>
      <c r="C143" s="10" t="s">
        <v>673</v>
      </c>
      <c r="D143" s="10" t="s">
        <v>674</v>
      </c>
      <c r="E143" s="10" t="s">
        <v>675</v>
      </c>
      <c r="F143" s="11">
        <v>880</v>
      </c>
      <c r="G143" s="11">
        <v>26</v>
      </c>
      <c r="H143" s="11">
        <v>20</v>
      </c>
      <c r="I143" s="11">
        <v>61</v>
      </c>
      <c r="J143" s="11">
        <f t="shared" si="4"/>
        <v>2.9545454545454546</v>
      </c>
      <c r="K143" s="10" t="str">
        <f t="shared" si="5"/>
        <v>Higher calorie; Low protein density; Low carb; High fat</v>
      </c>
      <c r="L143" s="10" t="s">
        <v>676</v>
      </c>
      <c r="M143" s="10" t="s">
        <v>32</v>
      </c>
      <c r="N143" s="10" t="s">
        <v>33</v>
      </c>
    </row>
    <row r="144" spans="1:14" ht="34" customHeight="1">
      <c r="A144" s="9" t="s">
        <v>677</v>
      </c>
      <c r="B144" s="9" t="s">
        <v>47</v>
      </c>
      <c r="C144" s="10" t="s">
        <v>191</v>
      </c>
      <c r="D144" s="10" t="s">
        <v>678</v>
      </c>
      <c r="E144" s="10" t="s">
        <v>679</v>
      </c>
      <c r="F144" s="11">
        <v>529</v>
      </c>
      <c r="G144" s="11">
        <v>17</v>
      </c>
      <c r="H144" s="11">
        <v>64</v>
      </c>
      <c r="I144" s="11">
        <v>23.8</v>
      </c>
      <c r="J144" s="11">
        <f t="shared" si="4"/>
        <v>3.2136105860113422</v>
      </c>
      <c r="K144" s="10" t="str">
        <f t="shared" si="5"/>
        <v>Lower calorie; Low protein density; Moderate carb; Moderate fat</v>
      </c>
      <c r="L144" s="10" t="s">
        <v>680</v>
      </c>
      <c r="M144" s="10" t="s">
        <v>32</v>
      </c>
      <c r="N144" s="10" t="s">
        <v>33</v>
      </c>
    </row>
    <row r="145" spans="1:14" ht="34" customHeight="1">
      <c r="A145" s="9" t="s">
        <v>681</v>
      </c>
      <c r="B145" s="9" t="s">
        <v>605</v>
      </c>
      <c r="C145" s="10" t="s">
        <v>682</v>
      </c>
      <c r="D145" s="10" t="s">
        <v>683</v>
      </c>
      <c r="E145" s="10" t="s">
        <v>684</v>
      </c>
      <c r="F145" s="11">
        <v>572</v>
      </c>
      <c r="G145" s="11">
        <v>21</v>
      </c>
      <c r="H145" s="11">
        <v>61</v>
      </c>
      <c r="I145" s="11">
        <v>27</v>
      </c>
      <c r="J145" s="11">
        <f t="shared" si="4"/>
        <v>3.6713286713286712</v>
      </c>
      <c r="K145" s="10" t="str">
        <f t="shared" si="5"/>
        <v>Lower calorie; Moderate protein density; Moderate carb; Moderate fat</v>
      </c>
      <c r="L145" s="10" t="s">
        <v>685</v>
      </c>
      <c r="M145" s="10" t="s">
        <v>32</v>
      </c>
      <c r="N145" s="10" t="s">
        <v>33</v>
      </c>
    </row>
    <row r="146" spans="1:14" ht="34" customHeight="1">
      <c r="A146" s="9" t="s">
        <v>686</v>
      </c>
      <c r="B146" s="9" t="s">
        <v>71</v>
      </c>
      <c r="C146" s="10" t="s">
        <v>687</v>
      </c>
      <c r="D146" s="10" t="s">
        <v>688</v>
      </c>
      <c r="E146" s="10" t="s">
        <v>689</v>
      </c>
      <c r="F146" s="11">
        <v>860</v>
      </c>
      <c r="G146" s="11">
        <v>40</v>
      </c>
      <c r="H146" s="11">
        <v>56</v>
      </c>
      <c r="I146" s="11">
        <v>54</v>
      </c>
      <c r="J146" s="11">
        <f t="shared" si="4"/>
        <v>4.6511627906976747</v>
      </c>
      <c r="K146" s="10" t="str">
        <f t="shared" si="5"/>
        <v>Higher calorie; Moderate protein density; Moderate carb; High fat</v>
      </c>
      <c r="L146" s="10" t="s">
        <v>690</v>
      </c>
      <c r="M146" s="10" t="s">
        <v>32</v>
      </c>
      <c r="N146" s="10" t="s">
        <v>33</v>
      </c>
    </row>
    <row r="147" spans="1:14" ht="34" customHeight="1">
      <c r="A147" s="9" t="s">
        <v>691</v>
      </c>
      <c r="B147" s="9" t="s">
        <v>692</v>
      </c>
      <c r="C147" s="10" t="s">
        <v>144</v>
      </c>
      <c r="D147" s="10" t="s">
        <v>693</v>
      </c>
      <c r="E147" s="10" t="s">
        <v>694</v>
      </c>
      <c r="F147" s="11">
        <v>640</v>
      </c>
      <c r="G147" s="11">
        <v>60</v>
      </c>
      <c r="H147" s="11">
        <v>50</v>
      </c>
      <c r="I147" s="11">
        <v>23</v>
      </c>
      <c r="J147" s="11">
        <f t="shared" si="4"/>
        <v>9.375</v>
      </c>
      <c r="K147" s="10" t="str">
        <f t="shared" si="5"/>
        <v>Moderate calorie; High protein density; Moderate carb; Moderate fat</v>
      </c>
      <c r="L147" s="10" t="s">
        <v>695</v>
      </c>
      <c r="M147" s="10" t="s">
        <v>32</v>
      </c>
      <c r="N147" s="10" t="s">
        <v>33</v>
      </c>
    </row>
    <row r="148" spans="1:14" ht="34" customHeight="1">
      <c r="A148" s="9" t="s">
        <v>696</v>
      </c>
      <c r="B148" s="9" t="s">
        <v>95</v>
      </c>
      <c r="C148" s="10" t="s">
        <v>697</v>
      </c>
      <c r="D148" s="10" t="s">
        <v>698</v>
      </c>
      <c r="E148" s="10" t="s">
        <v>699</v>
      </c>
      <c r="F148" s="11">
        <v>840</v>
      </c>
      <c r="G148" s="11">
        <v>37</v>
      </c>
      <c r="H148" s="11">
        <v>67</v>
      </c>
      <c r="I148" s="11">
        <v>47</v>
      </c>
      <c r="J148" s="11">
        <f t="shared" si="4"/>
        <v>4.4047619047619051</v>
      </c>
      <c r="K148" s="10" t="str">
        <f t="shared" si="5"/>
        <v>Higher calorie; Moderate protein density; Moderate carb; High fat</v>
      </c>
      <c r="L148" s="10" t="s">
        <v>700</v>
      </c>
      <c r="M148" s="10" t="s">
        <v>32</v>
      </c>
      <c r="N148" s="10" t="s">
        <v>33</v>
      </c>
    </row>
    <row r="149" spans="1:14" ht="34" customHeight="1">
      <c r="A149" s="9" t="s">
        <v>701</v>
      </c>
      <c r="B149" s="9" t="s">
        <v>125</v>
      </c>
      <c r="C149" s="10" t="s">
        <v>120</v>
      </c>
      <c r="D149" s="10" t="s">
        <v>702</v>
      </c>
      <c r="E149" s="10" t="s">
        <v>703</v>
      </c>
      <c r="F149" s="11">
        <v>380</v>
      </c>
      <c r="G149" s="11">
        <v>15</v>
      </c>
      <c r="H149" s="11">
        <v>49</v>
      </c>
      <c r="I149" s="11">
        <v>13</v>
      </c>
      <c r="J149" s="11">
        <f t="shared" si="4"/>
        <v>3.9473684210526314</v>
      </c>
      <c r="K149" s="10" t="str">
        <f t="shared" si="5"/>
        <v>Lower calorie; Moderate protein density; Moderate carb; Low fat</v>
      </c>
      <c r="L149" s="10" t="s">
        <v>704</v>
      </c>
      <c r="M149" s="10" t="s">
        <v>32</v>
      </c>
      <c r="N149" s="10" t="s">
        <v>33</v>
      </c>
    </row>
    <row r="150" spans="1:14" ht="34" customHeight="1">
      <c r="A150" s="9" t="s">
        <v>705</v>
      </c>
      <c r="B150" s="9" t="s">
        <v>261</v>
      </c>
      <c r="C150" s="10" t="s">
        <v>114</v>
      </c>
      <c r="D150" s="10" t="s">
        <v>706</v>
      </c>
      <c r="E150" s="10" t="s">
        <v>707</v>
      </c>
      <c r="F150" s="11">
        <v>580</v>
      </c>
      <c r="G150" s="11">
        <v>15</v>
      </c>
      <c r="H150" s="11">
        <v>77</v>
      </c>
      <c r="I150" s="11">
        <v>25</v>
      </c>
      <c r="J150" s="11">
        <f t="shared" si="4"/>
        <v>2.5862068965517242</v>
      </c>
      <c r="K150" s="10" t="str">
        <f t="shared" si="5"/>
        <v>Lower calorie; Low protein density; High carb; Moderate fat</v>
      </c>
      <c r="L150" s="10" t="s">
        <v>708</v>
      </c>
      <c r="M150" s="10" t="s">
        <v>32</v>
      </c>
      <c r="N150" s="10" t="s">
        <v>33</v>
      </c>
    </row>
    <row r="151" spans="1:14" ht="34" customHeight="1">
      <c r="A151" s="9" t="s">
        <v>709</v>
      </c>
      <c r="B151" s="9" t="s">
        <v>261</v>
      </c>
      <c r="C151" s="10" t="s">
        <v>539</v>
      </c>
      <c r="D151" s="10" t="s">
        <v>710</v>
      </c>
      <c r="E151" s="10" t="s">
        <v>711</v>
      </c>
      <c r="F151" s="11">
        <v>540</v>
      </c>
      <c r="G151" s="11">
        <v>40</v>
      </c>
      <c r="H151" s="11">
        <v>51</v>
      </c>
      <c r="I151" s="11">
        <v>22</v>
      </c>
      <c r="J151" s="11">
        <f t="shared" si="4"/>
        <v>7.4074074074074066</v>
      </c>
      <c r="K151" s="10" t="str">
        <f t="shared" si="5"/>
        <v>Lower calorie; High protein density; Moderate carb; Moderate fat</v>
      </c>
      <c r="L151" s="10" t="s">
        <v>712</v>
      </c>
      <c r="M151" s="10" t="s">
        <v>32</v>
      </c>
      <c r="N151" s="10" t="s">
        <v>33</v>
      </c>
    </row>
    <row r="152" spans="1:14" ht="34" customHeight="1">
      <c r="A152" s="9" t="s">
        <v>713</v>
      </c>
      <c r="B152" s="9" t="s">
        <v>89</v>
      </c>
      <c r="C152" s="10" t="s">
        <v>102</v>
      </c>
      <c r="D152" s="10" t="s">
        <v>714</v>
      </c>
      <c r="E152" s="10" t="s">
        <v>715</v>
      </c>
      <c r="F152" s="11">
        <v>700</v>
      </c>
      <c r="G152" s="11">
        <v>28</v>
      </c>
      <c r="H152" s="11">
        <v>62</v>
      </c>
      <c r="I152" s="11">
        <v>38</v>
      </c>
      <c r="J152" s="11">
        <f t="shared" si="4"/>
        <v>4</v>
      </c>
      <c r="K152" s="10" t="str">
        <f t="shared" si="5"/>
        <v>Moderate calorie; Moderate protein density; Moderate carb; Moderate fat</v>
      </c>
      <c r="L152" s="10" t="s">
        <v>716</v>
      </c>
      <c r="M152" s="10" t="s">
        <v>32</v>
      </c>
      <c r="N152" s="10" t="s">
        <v>33</v>
      </c>
    </row>
    <row r="153" spans="1:14" ht="34" customHeight="1">
      <c r="A153" s="9" t="s">
        <v>717</v>
      </c>
      <c r="B153" s="9" t="s">
        <v>101</v>
      </c>
      <c r="C153" s="10" t="s">
        <v>620</v>
      </c>
      <c r="D153" s="10" t="s">
        <v>718</v>
      </c>
      <c r="E153" s="10" t="s">
        <v>719</v>
      </c>
      <c r="F153" s="11">
        <v>1060</v>
      </c>
      <c r="G153" s="11">
        <v>57</v>
      </c>
      <c r="H153" s="11">
        <v>20</v>
      </c>
      <c r="I153" s="11">
        <v>80</v>
      </c>
      <c r="J153" s="11">
        <f t="shared" si="4"/>
        <v>5.3773584905660377</v>
      </c>
      <c r="K153" s="10" t="str">
        <f t="shared" si="5"/>
        <v>Higher calorie; High protein density; Low carb; High fat</v>
      </c>
      <c r="L153" s="10" t="s">
        <v>720</v>
      </c>
      <c r="M153" s="10" t="s">
        <v>32</v>
      </c>
      <c r="N153" s="10" t="s">
        <v>33</v>
      </c>
    </row>
    <row r="154" spans="1:14" ht="34" customHeight="1">
      <c r="A154" s="9" t="s">
        <v>721</v>
      </c>
      <c r="B154" s="9" t="s">
        <v>35</v>
      </c>
      <c r="C154" s="10" t="s">
        <v>28</v>
      </c>
      <c r="D154" s="10" t="s">
        <v>722</v>
      </c>
      <c r="E154" s="10" t="s">
        <v>723</v>
      </c>
      <c r="F154" s="11">
        <v>790</v>
      </c>
      <c r="G154" s="11">
        <v>39</v>
      </c>
      <c r="H154" s="11">
        <v>98</v>
      </c>
      <c r="I154" s="11">
        <v>26</v>
      </c>
      <c r="J154" s="11">
        <f t="shared" si="4"/>
        <v>4.9367088607594933</v>
      </c>
      <c r="K154" s="10" t="str">
        <f t="shared" si="5"/>
        <v>Moderate calorie; Moderate protein density; High carb; Moderate fat</v>
      </c>
      <c r="L154" s="10" t="s">
        <v>724</v>
      </c>
      <c r="M154" s="10" t="s">
        <v>32</v>
      </c>
      <c r="N154" s="10" t="s">
        <v>33</v>
      </c>
    </row>
    <row r="155" spans="1:14" ht="34" customHeight="1">
      <c r="A155" s="9" t="s">
        <v>725</v>
      </c>
      <c r="B155" s="9" t="s">
        <v>726</v>
      </c>
      <c r="C155" s="10" t="s">
        <v>302</v>
      </c>
      <c r="D155" s="10" t="s">
        <v>727</v>
      </c>
      <c r="E155" s="10" t="s">
        <v>728</v>
      </c>
      <c r="F155" s="11">
        <v>560</v>
      </c>
      <c r="G155" s="11">
        <v>47</v>
      </c>
      <c r="H155" s="11">
        <v>50</v>
      </c>
      <c r="I155" s="11">
        <v>24</v>
      </c>
      <c r="J155" s="11">
        <f t="shared" si="4"/>
        <v>8.3928571428571423</v>
      </c>
      <c r="K155" s="10" t="str">
        <f t="shared" si="5"/>
        <v>Lower calorie; High protein density; Moderate carb; Moderate fat</v>
      </c>
      <c r="L155" s="10" t="s">
        <v>729</v>
      </c>
      <c r="M155" s="10" t="s">
        <v>32</v>
      </c>
      <c r="N155" s="10" t="s">
        <v>33</v>
      </c>
    </row>
    <row r="156" spans="1:14" ht="34" customHeight="1">
      <c r="A156" s="9" t="s">
        <v>730</v>
      </c>
      <c r="B156" s="9" t="s">
        <v>35</v>
      </c>
      <c r="C156" s="10" t="s">
        <v>297</v>
      </c>
      <c r="D156" s="10" t="s">
        <v>731</v>
      </c>
      <c r="E156" s="10" t="s">
        <v>732</v>
      </c>
      <c r="F156" s="11">
        <v>460</v>
      </c>
      <c r="G156" s="11">
        <v>34</v>
      </c>
      <c r="H156" s="11">
        <v>42</v>
      </c>
      <c r="I156" s="11">
        <v>19</v>
      </c>
      <c r="J156" s="11">
        <f t="shared" si="4"/>
        <v>7.3913043478260869</v>
      </c>
      <c r="K156" s="10" t="str">
        <f t="shared" si="5"/>
        <v>Lower calorie; High protein density; Moderate carb; Low fat</v>
      </c>
      <c r="L156" s="10" t="s">
        <v>733</v>
      </c>
      <c r="M156" s="10" t="s">
        <v>32</v>
      </c>
      <c r="N156" s="10" t="s">
        <v>33</v>
      </c>
    </row>
    <row r="157" spans="1:14" ht="34" customHeight="1">
      <c r="A157" s="9" t="s">
        <v>734</v>
      </c>
      <c r="B157" s="9" t="s">
        <v>605</v>
      </c>
      <c r="C157" s="10" t="s">
        <v>120</v>
      </c>
      <c r="D157" s="10" t="s">
        <v>735</v>
      </c>
      <c r="E157" s="10" t="s">
        <v>736</v>
      </c>
      <c r="F157" s="11">
        <v>710</v>
      </c>
      <c r="G157" s="11">
        <v>27</v>
      </c>
      <c r="H157" s="11">
        <v>81</v>
      </c>
      <c r="I157" s="11">
        <v>30</v>
      </c>
      <c r="J157" s="11">
        <f t="shared" si="4"/>
        <v>3.8028169014084505</v>
      </c>
      <c r="K157" s="10" t="str">
        <f t="shared" si="5"/>
        <v>Moderate calorie; Moderate protein density; High carb; Moderate fat</v>
      </c>
      <c r="L157" s="10" t="s">
        <v>173</v>
      </c>
      <c r="M157" s="10" t="s">
        <v>32</v>
      </c>
      <c r="N157" s="10" t="s">
        <v>33</v>
      </c>
    </row>
    <row r="158" spans="1:14" ht="34" customHeight="1">
      <c r="A158" s="9" t="s">
        <v>737</v>
      </c>
      <c r="B158" s="9" t="s">
        <v>65</v>
      </c>
      <c r="C158" s="10" t="s">
        <v>738</v>
      </c>
      <c r="D158" s="10" t="s">
        <v>739</v>
      </c>
      <c r="E158" s="10" t="s">
        <v>740</v>
      </c>
      <c r="F158" s="11">
        <v>630</v>
      </c>
      <c r="G158" s="11">
        <v>43</v>
      </c>
      <c r="H158" s="11">
        <v>57</v>
      </c>
      <c r="I158" s="11">
        <v>26</v>
      </c>
      <c r="J158" s="11">
        <f t="shared" si="4"/>
        <v>6.8253968253968251</v>
      </c>
      <c r="K158" s="10" t="str">
        <f t="shared" si="5"/>
        <v>Moderate calorie; High protein density; Moderate carb; Moderate fat</v>
      </c>
      <c r="L158" s="10" t="s">
        <v>724</v>
      </c>
      <c r="M158" s="10" t="s">
        <v>32</v>
      </c>
      <c r="N158" s="10" t="s">
        <v>33</v>
      </c>
    </row>
    <row r="159" spans="1:14" ht="34" customHeight="1">
      <c r="A159" s="9" t="s">
        <v>741</v>
      </c>
      <c r="B159" s="9" t="s">
        <v>496</v>
      </c>
      <c r="C159" s="10" t="s">
        <v>144</v>
      </c>
      <c r="D159" s="10" t="s">
        <v>742</v>
      </c>
      <c r="E159" s="10" t="s">
        <v>743</v>
      </c>
      <c r="F159" s="11">
        <v>810</v>
      </c>
      <c r="G159" s="11">
        <v>56</v>
      </c>
      <c r="H159" s="11">
        <v>62</v>
      </c>
      <c r="I159" s="11">
        <v>36</v>
      </c>
      <c r="J159" s="11">
        <f t="shared" si="4"/>
        <v>6.9135802469135799</v>
      </c>
      <c r="K159" s="10" t="str">
        <f t="shared" si="5"/>
        <v>Higher calorie; High protein density; Moderate carb; Moderate fat</v>
      </c>
      <c r="L159" s="10" t="s">
        <v>744</v>
      </c>
      <c r="M159" s="10" t="s">
        <v>32</v>
      </c>
      <c r="N159" s="10" t="s">
        <v>33</v>
      </c>
    </row>
    <row r="160" spans="1:14" ht="34" customHeight="1">
      <c r="A160" s="9" t="s">
        <v>745</v>
      </c>
      <c r="B160" s="9" t="s">
        <v>196</v>
      </c>
      <c r="C160" s="10" t="s">
        <v>144</v>
      </c>
      <c r="D160" s="10" t="s">
        <v>746</v>
      </c>
      <c r="E160" s="10" t="s">
        <v>747</v>
      </c>
      <c r="F160" s="11">
        <v>970</v>
      </c>
      <c r="G160" s="11">
        <v>45</v>
      </c>
      <c r="H160" s="11">
        <v>83</v>
      </c>
      <c r="I160" s="11">
        <v>49</v>
      </c>
      <c r="J160" s="11">
        <f t="shared" si="4"/>
        <v>4.6391752577319592</v>
      </c>
      <c r="K160" s="10" t="str">
        <f t="shared" si="5"/>
        <v>Higher calorie; Moderate protein density; High carb; High fat</v>
      </c>
      <c r="L160" s="10" t="s">
        <v>177</v>
      </c>
      <c r="M160" s="10" t="s">
        <v>32</v>
      </c>
      <c r="N160" s="10" t="s">
        <v>33</v>
      </c>
    </row>
    <row r="161" spans="1:14" ht="34" customHeight="1">
      <c r="A161" s="9" t="s">
        <v>748</v>
      </c>
      <c r="B161" s="9" t="s">
        <v>184</v>
      </c>
      <c r="C161" s="10" t="s">
        <v>749</v>
      </c>
      <c r="D161" s="10" t="s">
        <v>750</v>
      </c>
      <c r="E161" s="10" t="s">
        <v>751</v>
      </c>
      <c r="F161" s="11">
        <v>490</v>
      </c>
      <c r="G161" s="11">
        <v>15</v>
      </c>
      <c r="H161" s="11">
        <v>78</v>
      </c>
      <c r="I161" s="11">
        <v>14</v>
      </c>
      <c r="J161" s="11">
        <f t="shared" si="4"/>
        <v>3.0612244897959182</v>
      </c>
      <c r="K161" s="10" t="str">
        <f t="shared" si="5"/>
        <v>Lower calorie; Low protein density; High carb; Low fat</v>
      </c>
      <c r="L161" s="10" t="s">
        <v>752</v>
      </c>
      <c r="M161" s="10" t="s">
        <v>32</v>
      </c>
      <c r="N161" s="10" t="s">
        <v>33</v>
      </c>
    </row>
    <row r="162" spans="1:14" ht="34" customHeight="1">
      <c r="A162" s="9" t="s">
        <v>753</v>
      </c>
      <c r="B162" s="9" t="s">
        <v>143</v>
      </c>
      <c r="C162" s="10" t="s">
        <v>754</v>
      </c>
      <c r="D162" s="10" t="s">
        <v>755</v>
      </c>
      <c r="E162" s="10" t="s">
        <v>756</v>
      </c>
      <c r="F162" s="11">
        <v>609</v>
      </c>
      <c r="G162" s="11">
        <v>31</v>
      </c>
      <c r="H162" s="11">
        <v>32</v>
      </c>
      <c r="I162" s="11">
        <v>41.4</v>
      </c>
      <c r="J162" s="11">
        <f t="shared" si="4"/>
        <v>5.0903119868637114</v>
      </c>
      <c r="K162" s="10" t="str">
        <f t="shared" si="5"/>
        <v>Moderate calorie; High protein density; Moderate carb; High fat</v>
      </c>
      <c r="L162" s="10" t="s">
        <v>757</v>
      </c>
      <c r="M162" s="10" t="s">
        <v>32</v>
      </c>
      <c r="N162" s="10" t="s">
        <v>33</v>
      </c>
    </row>
    <row r="163" spans="1:14" ht="34" customHeight="1">
      <c r="A163" s="9" t="s">
        <v>758</v>
      </c>
      <c r="B163" s="9" t="s">
        <v>71</v>
      </c>
      <c r="C163" s="10" t="s">
        <v>759</v>
      </c>
      <c r="D163" s="10" t="s">
        <v>760</v>
      </c>
      <c r="E163" s="10" t="s">
        <v>761</v>
      </c>
      <c r="F163" s="11">
        <v>790</v>
      </c>
      <c r="G163" s="11">
        <v>24</v>
      </c>
      <c r="H163" s="11">
        <v>56</v>
      </c>
      <c r="I163" s="11">
        <v>54</v>
      </c>
      <c r="J163" s="11">
        <f t="shared" si="4"/>
        <v>3.0379746835443036</v>
      </c>
      <c r="K163" s="10" t="str">
        <f t="shared" si="5"/>
        <v>Moderate calorie; Low protein density; Moderate carb; High fat</v>
      </c>
      <c r="L163" s="10" t="s">
        <v>762</v>
      </c>
      <c r="M163" s="10" t="s">
        <v>32</v>
      </c>
      <c r="N163" s="10" t="s">
        <v>33</v>
      </c>
    </row>
    <row r="164" spans="1:14" ht="34" customHeight="1">
      <c r="A164" s="9" t="s">
        <v>763</v>
      </c>
      <c r="B164" s="9" t="s">
        <v>296</v>
      </c>
      <c r="C164" s="10" t="s">
        <v>764</v>
      </c>
      <c r="D164" s="10" t="s">
        <v>765</v>
      </c>
      <c r="E164" s="10" t="s">
        <v>766</v>
      </c>
      <c r="F164" s="11">
        <v>510</v>
      </c>
      <c r="G164" s="11">
        <v>45</v>
      </c>
      <c r="H164" s="11">
        <v>44</v>
      </c>
      <c r="I164" s="11">
        <v>16</v>
      </c>
      <c r="J164" s="11">
        <f t="shared" si="4"/>
        <v>8.8235294117647065</v>
      </c>
      <c r="K164" s="10" t="str">
        <f t="shared" si="5"/>
        <v>Lower calorie; High protein density; Moderate carb; Low fat</v>
      </c>
      <c r="L164" s="10" t="s">
        <v>767</v>
      </c>
      <c r="M164" s="10" t="s">
        <v>32</v>
      </c>
      <c r="N164" s="10" t="s">
        <v>33</v>
      </c>
    </row>
    <row r="165" spans="1:14" ht="34" customHeight="1">
      <c r="A165" s="9" t="s">
        <v>768</v>
      </c>
      <c r="B165" s="9" t="s">
        <v>261</v>
      </c>
      <c r="C165" s="10" t="s">
        <v>28</v>
      </c>
      <c r="D165" s="10" t="s">
        <v>769</v>
      </c>
      <c r="E165" s="10" t="s">
        <v>770</v>
      </c>
      <c r="F165" s="11">
        <v>810</v>
      </c>
      <c r="G165" s="11">
        <v>53</v>
      </c>
      <c r="H165" s="11">
        <v>84</v>
      </c>
      <c r="I165" s="11">
        <v>28</v>
      </c>
      <c r="J165" s="11">
        <f t="shared" si="4"/>
        <v>6.5432098765432105</v>
      </c>
      <c r="K165" s="10" t="str">
        <f t="shared" si="5"/>
        <v>Higher calorie; High protein density; High carb; Moderate fat</v>
      </c>
      <c r="L165" s="10" t="s">
        <v>771</v>
      </c>
      <c r="M165" s="10" t="s">
        <v>32</v>
      </c>
      <c r="N165" s="10" t="s">
        <v>33</v>
      </c>
    </row>
    <row r="166" spans="1:14" ht="34" customHeight="1">
      <c r="A166" s="9" t="s">
        <v>772</v>
      </c>
      <c r="B166" s="9" t="s">
        <v>162</v>
      </c>
      <c r="C166" s="10" t="s">
        <v>561</v>
      </c>
      <c r="D166" s="10" t="s">
        <v>773</v>
      </c>
      <c r="E166" s="10" t="s">
        <v>774</v>
      </c>
      <c r="F166" s="11">
        <v>850</v>
      </c>
      <c r="G166" s="11">
        <v>32</v>
      </c>
      <c r="H166" s="11">
        <v>28</v>
      </c>
      <c r="I166" s="11">
        <v>67</v>
      </c>
      <c r="J166" s="11">
        <f t="shared" si="4"/>
        <v>3.7647058823529407</v>
      </c>
      <c r="K166" s="10" t="str">
        <f t="shared" si="5"/>
        <v>Higher calorie; Moderate protein density; Low carb; High fat</v>
      </c>
      <c r="L166" s="10" t="s">
        <v>775</v>
      </c>
      <c r="M166" s="10" t="s">
        <v>32</v>
      </c>
      <c r="N166" s="10" t="s">
        <v>33</v>
      </c>
    </row>
    <row r="167" spans="1:14" ht="34" customHeight="1">
      <c r="A167" s="9" t="s">
        <v>776</v>
      </c>
      <c r="B167" s="9" t="s">
        <v>101</v>
      </c>
      <c r="C167" s="10" t="s">
        <v>416</v>
      </c>
      <c r="D167" s="10" t="s">
        <v>777</v>
      </c>
      <c r="E167" s="10" t="s">
        <v>778</v>
      </c>
      <c r="F167" s="11">
        <v>413</v>
      </c>
      <c r="G167" s="11">
        <v>24</v>
      </c>
      <c r="H167" s="11">
        <v>52</v>
      </c>
      <c r="I167" s="11">
        <v>12.7</v>
      </c>
      <c r="J167" s="11">
        <f t="shared" si="4"/>
        <v>5.8111380145278453</v>
      </c>
      <c r="K167" s="10" t="str">
        <f t="shared" si="5"/>
        <v>Lower calorie; High protein density; Moderate carb; Low fat</v>
      </c>
      <c r="L167" s="10" t="s">
        <v>779</v>
      </c>
      <c r="M167" s="10" t="s">
        <v>32</v>
      </c>
      <c r="N167" s="10" t="s">
        <v>33</v>
      </c>
    </row>
    <row r="168" spans="1:14" ht="34" customHeight="1">
      <c r="A168" s="9" t="s">
        <v>780</v>
      </c>
      <c r="B168" s="9" t="s">
        <v>386</v>
      </c>
      <c r="C168" s="10" t="s">
        <v>781</v>
      </c>
      <c r="D168" s="10" t="s">
        <v>782</v>
      </c>
      <c r="E168" s="10" t="s">
        <v>783</v>
      </c>
      <c r="F168" s="11">
        <v>510</v>
      </c>
      <c r="G168" s="11">
        <v>47</v>
      </c>
      <c r="H168" s="11">
        <v>34</v>
      </c>
      <c r="I168" s="11">
        <v>20</v>
      </c>
      <c r="J168" s="11">
        <f t="shared" si="4"/>
        <v>9.2156862745098049</v>
      </c>
      <c r="K168" s="10" t="str">
        <f t="shared" si="5"/>
        <v>Lower calorie; High protein density; Moderate carb; Low fat</v>
      </c>
      <c r="L168" s="10" t="s">
        <v>784</v>
      </c>
      <c r="M168" s="10" t="s">
        <v>32</v>
      </c>
      <c r="N168" s="10" t="s">
        <v>33</v>
      </c>
    </row>
    <row r="169" spans="1:14" ht="34" customHeight="1">
      <c r="A169" s="9" t="s">
        <v>785</v>
      </c>
      <c r="B169" s="9" t="s">
        <v>27</v>
      </c>
      <c r="C169" s="10" t="s">
        <v>786</v>
      </c>
      <c r="D169" s="10" t="s">
        <v>787</v>
      </c>
      <c r="E169" s="10" t="s">
        <v>788</v>
      </c>
      <c r="F169" s="11">
        <v>610</v>
      </c>
      <c r="G169" s="11">
        <v>57</v>
      </c>
      <c r="H169" s="11">
        <v>32</v>
      </c>
      <c r="I169" s="11">
        <v>27</v>
      </c>
      <c r="J169" s="11">
        <f t="shared" si="4"/>
        <v>9.3442622950819683</v>
      </c>
      <c r="K169" s="10" t="str">
        <f t="shared" si="5"/>
        <v>Moderate calorie; High protein density; Moderate carb; Moderate fat</v>
      </c>
      <c r="L169" s="10" t="s">
        <v>789</v>
      </c>
      <c r="M169" s="10" t="s">
        <v>32</v>
      </c>
      <c r="N169" s="10" t="s">
        <v>33</v>
      </c>
    </row>
    <row r="170" spans="1:14" ht="34" customHeight="1">
      <c r="A170" s="9" t="s">
        <v>790</v>
      </c>
      <c r="B170" s="9" t="s">
        <v>280</v>
      </c>
      <c r="C170" s="10" t="s">
        <v>430</v>
      </c>
      <c r="D170" s="10" t="s">
        <v>791</v>
      </c>
      <c r="E170" s="10" t="s">
        <v>792</v>
      </c>
      <c r="F170" s="11">
        <v>438</v>
      </c>
      <c r="G170" s="11">
        <v>16</v>
      </c>
      <c r="H170" s="11">
        <v>47</v>
      </c>
      <c r="I170" s="11">
        <v>23.1</v>
      </c>
      <c r="J170" s="11">
        <f t="shared" si="4"/>
        <v>3.6529680365296802</v>
      </c>
      <c r="K170" s="10" t="str">
        <f t="shared" si="5"/>
        <v>Lower calorie; Moderate protein density; Moderate carb; Moderate fat</v>
      </c>
      <c r="L170" s="10" t="s">
        <v>793</v>
      </c>
      <c r="M170" s="10" t="s">
        <v>32</v>
      </c>
      <c r="N170" s="10" t="s">
        <v>33</v>
      </c>
    </row>
    <row r="171" spans="1:14" ht="34" customHeight="1">
      <c r="A171" s="9" t="s">
        <v>794</v>
      </c>
      <c r="B171" s="9" t="s">
        <v>131</v>
      </c>
      <c r="C171" s="10" t="s">
        <v>144</v>
      </c>
      <c r="D171" s="10" t="s">
        <v>795</v>
      </c>
      <c r="E171" s="10" t="s">
        <v>796</v>
      </c>
      <c r="F171" s="11">
        <v>710</v>
      </c>
      <c r="G171" s="11">
        <v>56</v>
      </c>
      <c r="H171" s="11">
        <v>47</v>
      </c>
      <c r="I171" s="11">
        <v>33</v>
      </c>
      <c r="J171" s="11">
        <f t="shared" si="4"/>
        <v>7.887323943661972</v>
      </c>
      <c r="K171" s="10" t="str">
        <f t="shared" si="5"/>
        <v>Moderate calorie; High protein density; Moderate carb; Moderate fat</v>
      </c>
      <c r="L171" s="10" t="s">
        <v>797</v>
      </c>
      <c r="M171" s="10" t="s">
        <v>32</v>
      </c>
      <c r="N171" s="10" t="s">
        <v>33</v>
      </c>
    </row>
    <row r="172" spans="1:14" ht="34" customHeight="1">
      <c r="A172" s="9" t="s">
        <v>798</v>
      </c>
      <c r="B172" s="9" t="s">
        <v>143</v>
      </c>
      <c r="C172" s="10" t="s">
        <v>754</v>
      </c>
      <c r="D172" s="10" t="s">
        <v>799</v>
      </c>
      <c r="E172" s="10" t="s">
        <v>800</v>
      </c>
      <c r="F172" s="11">
        <v>690</v>
      </c>
      <c r="G172" s="11">
        <v>44</v>
      </c>
      <c r="H172" s="11">
        <v>34</v>
      </c>
      <c r="I172" s="11">
        <v>44</v>
      </c>
      <c r="J172" s="11">
        <f t="shared" si="4"/>
        <v>6.3768115942028984</v>
      </c>
      <c r="K172" s="10" t="str">
        <f t="shared" si="5"/>
        <v>Moderate calorie; High protein density; Moderate carb; High fat</v>
      </c>
      <c r="L172" s="10" t="s">
        <v>801</v>
      </c>
      <c r="M172" s="10" t="s">
        <v>32</v>
      </c>
      <c r="N172" s="10" t="s">
        <v>33</v>
      </c>
    </row>
    <row r="173" spans="1:14" ht="34" customHeight="1">
      <c r="A173" s="9" t="s">
        <v>802</v>
      </c>
      <c r="B173" s="9" t="s">
        <v>803</v>
      </c>
      <c r="C173" s="10" t="s">
        <v>474</v>
      </c>
      <c r="D173" s="10" t="s">
        <v>804</v>
      </c>
      <c r="E173" s="10" t="s">
        <v>805</v>
      </c>
      <c r="F173" s="11">
        <v>770</v>
      </c>
      <c r="G173" s="11">
        <v>44</v>
      </c>
      <c r="H173" s="11">
        <v>35</v>
      </c>
      <c r="I173" s="11">
        <v>54</v>
      </c>
      <c r="J173" s="11">
        <f t="shared" si="4"/>
        <v>5.7142857142857144</v>
      </c>
      <c r="K173" s="10" t="str">
        <f t="shared" si="5"/>
        <v>Moderate calorie; High protein density; Moderate carb; High fat</v>
      </c>
      <c r="L173" s="10" t="s">
        <v>806</v>
      </c>
      <c r="M173" s="10" t="s">
        <v>32</v>
      </c>
      <c r="N173" s="10" t="s">
        <v>33</v>
      </c>
    </row>
    <row r="174" spans="1:14" ht="34" customHeight="1">
      <c r="A174" s="9" t="s">
        <v>807</v>
      </c>
      <c r="B174" s="9" t="s">
        <v>27</v>
      </c>
      <c r="C174" s="10" t="s">
        <v>808</v>
      </c>
      <c r="D174" s="10" t="s">
        <v>809</v>
      </c>
      <c r="E174" s="10" t="s">
        <v>810</v>
      </c>
      <c r="F174" s="11">
        <v>569</v>
      </c>
      <c r="G174" s="11">
        <v>41</v>
      </c>
      <c r="H174" s="11">
        <v>35</v>
      </c>
      <c r="I174" s="11">
        <v>30</v>
      </c>
      <c r="J174" s="11">
        <f t="shared" si="4"/>
        <v>7.2056239015817214</v>
      </c>
      <c r="K174" s="10" t="str">
        <f t="shared" si="5"/>
        <v>Lower calorie; High protein density; Moderate carb; Moderate fat</v>
      </c>
      <c r="L174" s="10" t="s">
        <v>811</v>
      </c>
      <c r="M174" s="10" t="s">
        <v>32</v>
      </c>
      <c r="N174" s="10" t="s">
        <v>33</v>
      </c>
    </row>
    <row r="175" spans="1:14" ht="34" customHeight="1">
      <c r="A175" s="9" t="s">
        <v>812</v>
      </c>
      <c r="B175" s="9" t="s">
        <v>235</v>
      </c>
      <c r="C175" s="10" t="s">
        <v>430</v>
      </c>
      <c r="D175" s="10" t="s">
        <v>813</v>
      </c>
      <c r="E175" s="10" t="s">
        <v>814</v>
      </c>
      <c r="F175" s="11">
        <v>357</v>
      </c>
      <c r="G175" s="11">
        <v>22</v>
      </c>
      <c r="H175" s="11">
        <v>53</v>
      </c>
      <c r="I175" s="11">
        <v>7.7</v>
      </c>
      <c r="J175" s="11">
        <f t="shared" si="4"/>
        <v>6.1624649859943981</v>
      </c>
      <c r="K175" s="10" t="str">
        <f t="shared" si="5"/>
        <v>Lower calorie; High protein density; Moderate carb; Low fat</v>
      </c>
      <c r="L175" s="10" t="s">
        <v>815</v>
      </c>
      <c r="M175" s="10" t="s">
        <v>32</v>
      </c>
      <c r="N175" s="10" t="s">
        <v>33</v>
      </c>
    </row>
    <row r="176" spans="1:14" ht="34" customHeight="1">
      <c r="A176" s="9" t="s">
        <v>816</v>
      </c>
      <c r="B176" s="9" t="s">
        <v>386</v>
      </c>
      <c r="C176" s="10" t="s">
        <v>817</v>
      </c>
      <c r="D176" s="10" t="s">
        <v>818</v>
      </c>
      <c r="E176" s="10" t="s">
        <v>819</v>
      </c>
      <c r="F176" s="11">
        <v>550</v>
      </c>
      <c r="G176" s="11">
        <v>41</v>
      </c>
      <c r="H176" s="11">
        <v>15</v>
      </c>
      <c r="I176" s="11">
        <v>37</v>
      </c>
      <c r="J176" s="11">
        <f t="shared" si="4"/>
        <v>7.4545454545454541</v>
      </c>
      <c r="K176" s="10" t="str">
        <f t="shared" si="5"/>
        <v>Lower calorie; High protein density; Low carb; Moderate fat</v>
      </c>
      <c r="L176" s="10" t="s">
        <v>820</v>
      </c>
      <c r="M176" s="10" t="s">
        <v>32</v>
      </c>
      <c r="N176" s="10" t="s">
        <v>33</v>
      </c>
    </row>
    <row r="177" spans="1:14" ht="34" customHeight="1">
      <c r="A177" s="9" t="s">
        <v>821</v>
      </c>
      <c r="B177" s="9" t="s">
        <v>803</v>
      </c>
      <c r="C177" s="10" t="s">
        <v>144</v>
      </c>
      <c r="D177" s="10" t="s">
        <v>822</v>
      </c>
      <c r="E177" s="10" t="s">
        <v>823</v>
      </c>
      <c r="F177" s="11">
        <v>1060</v>
      </c>
      <c r="G177" s="11">
        <v>40</v>
      </c>
      <c r="H177" s="11">
        <v>108</v>
      </c>
      <c r="I177" s="11">
        <v>54</v>
      </c>
      <c r="J177" s="11">
        <f t="shared" si="4"/>
        <v>3.7735849056603774</v>
      </c>
      <c r="K177" s="10" t="str">
        <f t="shared" si="5"/>
        <v>Higher calorie; Moderate protein density; High carb; High fat</v>
      </c>
      <c r="L177" s="10" t="s">
        <v>824</v>
      </c>
      <c r="M177" s="10" t="s">
        <v>32</v>
      </c>
      <c r="N177" s="10" t="s">
        <v>33</v>
      </c>
    </row>
    <row r="178" spans="1:14" ht="34" customHeight="1">
      <c r="A178" s="9" t="s">
        <v>825</v>
      </c>
      <c r="B178" s="9" t="s">
        <v>826</v>
      </c>
      <c r="C178" s="10" t="s">
        <v>120</v>
      </c>
      <c r="D178" s="10" t="s">
        <v>827</v>
      </c>
      <c r="E178" s="10" t="s">
        <v>828</v>
      </c>
      <c r="F178" s="11">
        <v>1090</v>
      </c>
      <c r="G178" s="11">
        <v>53</v>
      </c>
      <c r="H178" s="11">
        <v>72</v>
      </c>
      <c r="I178" s="11">
        <v>68</v>
      </c>
      <c r="J178" s="11">
        <f t="shared" si="4"/>
        <v>4.862385321100918</v>
      </c>
      <c r="K178" s="10" t="str">
        <f t="shared" si="5"/>
        <v>Higher calorie; Moderate protein density; High carb; High fat</v>
      </c>
      <c r="L178" s="10" t="s">
        <v>829</v>
      </c>
      <c r="M178" s="10" t="s">
        <v>32</v>
      </c>
      <c r="N178" s="10" t="s">
        <v>33</v>
      </c>
    </row>
    <row r="179" spans="1:14" ht="34" customHeight="1">
      <c r="A179" s="9" t="s">
        <v>830</v>
      </c>
      <c r="B179" s="9" t="s">
        <v>162</v>
      </c>
      <c r="C179" s="10" t="s">
        <v>625</v>
      </c>
      <c r="D179" s="10" t="s">
        <v>831</v>
      </c>
      <c r="E179" s="10" t="s">
        <v>832</v>
      </c>
      <c r="F179" s="11">
        <v>840</v>
      </c>
      <c r="G179" s="11">
        <v>35</v>
      </c>
      <c r="H179" s="11">
        <v>54</v>
      </c>
      <c r="I179" s="11">
        <v>55</v>
      </c>
      <c r="J179" s="11">
        <f t="shared" si="4"/>
        <v>4.1666666666666661</v>
      </c>
      <c r="K179" s="10" t="str">
        <f t="shared" si="5"/>
        <v>Higher calorie; Moderate protein density; Moderate carb; High fat</v>
      </c>
      <c r="L179" s="10" t="s">
        <v>833</v>
      </c>
      <c r="M179" s="10" t="s">
        <v>32</v>
      </c>
      <c r="N179" s="10" t="s">
        <v>33</v>
      </c>
    </row>
    <row r="180" spans="1:14" ht="34" customHeight="1">
      <c r="A180" s="9" t="s">
        <v>834</v>
      </c>
      <c r="B180" s="9" t="s">
        <v>515</v>
      </c>
      <c r="C180" s="10" t="s">
        <v>625</v>
      </c>
      <c r="D180" s="10" t="s">
        <v>835</v>
      </c>
      <c r="E180" s="10" t="s">
        <v>836</v>
      </c>
      <c r="F180" s="11">
        <v>830</v>
      </c>
      <c r="G180" s="11">
        <v>43</v>
      </c>
      <c r="H180" s="11">
        <v>80</v>
      </c>
      <c r="I180" s="11">
        <v>41</v>
      </c>
      <c r="J180" s="11">
        <f t="shared" si="4"/>
        <v>5.1807228915662655</v>
      </c>
      <c r="K180" s="10" t="str">
        <f t="shared" si="5"/>
        <v>Higher calorie; High protein density; High carb; High fat</v>
      </c>
      <c r="L180" s="10" t="s">
        <v>837</v>
      </c>
      <c r="M180" s="10" t="s">
        <v>32</v>
      </c>
      <c r="N180" s="10" t="s">
        <v>33</v>
      </c>
    </row>
    <row r="181" spans="1:14" ht="34" customHeight="1">
      <c r="A181" s="9" t="s">
        <v>838</v>
      </c>
      <c r="B181" s="9" t="s">
        <v>280</v>
      </c>
      <c r="C181" s="10" t="s">
        <v>749</v>
      </c>
      <c r="D181" s="10" t="s">
        <v>839</v>
      </c>
      <c r="E181" s="10" t="s">
        <v>840</v>
      </c>
      <c r="F181" s="11">
        <v>590</v>
      </c>
      <c r="G181" s="11">
        <v>24</v>
      </c>
      <c r="H181" s="11">
        <v>80</v>
      </c>
      <c r="I181" s="11">
        <v>23</v>
      </c>
      <c r="J181" s="11">
        <f t="shared" si="4"/>
        <v>4.0677966101694913</v>
      </c>
      <c r="K181" s="10" t="str">
        <f t="shared" si="5"/>
        <v>Lower calorie; Moderate protein density; High carb; Moderate fat</v>
      </c>
      <c r="L181" s="10" t="s">
        <v>841</v>
      </c>
      <c r="M181" s="10" t="s">
        <v>32</v>
      </c>
      <c r="N181" s="10" t="s">
        <v>33</v>
      </c>
    </row>
    <row r="182" spans="1:14" ht="34" customHeight="1">
      <c r="A182" s="9" t="s">
        <v>842</v>
      </c>
      <c r="B182" s="9" t="s">
        <v>415</v>
      </c>
      <c r="C182" s="10" t="s">
        <v>474</v>
      </c>
      <c r="D182" s="10" t="s">
        <v>843</v>
      </c>
      <c r="E182" s="10" t="s">
        <v>844</v>
      </c>
      <c r="F182" s="11">
        <v>870</v>
      </c>
      <c r="G182" s="11">
        <v>42</v>
      </c>
      <c r="H182" s="11">
        <v>21</v>
      </c>
      <c r="I182" s="11">
        <v>65</v>
      </c>
      <c r="J182" s="11">
        <f t="shared" si="4"/>
        <v>4.8275862068965516</v>
      </c>
      <c r="K182" s="10" t="str">
        <f t="shared" si="5"/>
        <v>Higher calorie; Moderate protein density; Low carb; High fat</v>
      </c>
      <c r="L182" s="10" t="s">
        <v>845</v>
      </c>
      <c r="M182" s="10" t="s">
        <v>32</v>
      </c>
      <c r="N182" s="10" t="s">
        <v>33</v>
      </c>
    </row>
    <row r="183" spans="1:14" ht="34" customHeight="1">
      <c r="A183" s="9" t="s">
        <v>846</v>
      </c>
      <c r="B183" s="9" t="s">
        <v>89</v>
      </c>
      <c r="C183" s="10" t="s">
        <v>847</v>
      </c>
      <c r="D183" s="10" t="s">
        <v>848</v>
      </c>
      <c r="E183" s="10" t="s">
        <v>849</v>
      </c>
      <c r="F183" s="11">
        <v>580</v>
      </c>
      <c r="G183" s="11">
        <v>46</v>
      </c>
      <c r="H183" s="11">
        <v>37</v>
      </c>
      <c r="I183" s="11">
        <v>28</v>
      </c>
      <c r="J183" s="11">
        <f t="shared" si="4"/>
        <v>7.931034482758621</v>
      </c>
      <c r="K183" s="10" t="str">
        <f t="shared" si="5"/>
        <v>Lower calorie; High protein density; Moderate carb; Moderate fat</v>
      </c>
      <c r="L183" s="10" t="s">
        <v>850</v>
      </c>
      <c r="M183" s="10" t="s">
        <v>32</v>
      </c>
      <c r="N183" s="10" t="s">
        <v>33</v>
      </c>
    </row>
    <row r="184" spans="1:14" ht="34" customHeight="1">
      <c r="A184" s="9" t="s">
        <v>851</v>
      </c>
      <c r="B184" s="9" t="s">
        <v>95</v>
      </c>
      <c r="C184" s="10" t="s">
        <v>96</v>
      </c>
      <c r="D184" s="10" t="s">
        <v>852</v>
      </c>
      <c r="E184" s="10" t="s">
        <v>853</v>
      </c>
      <c r="F184" s="11">
        <v>840</v>
      </c>
      <c r="G184" s="11">
        <v>34</v>
      </c>
      <c r="H184" s="11">
        <v>80</v>
      </c>
      <c r="I184" s="11">
        <v>41</v>
      </c>
      <c r="J184" s="11">
        <f t="shared" si="4"/>
        <v>4.0476190476190474</v>
      </c>
      <c r="K184" s="10" t="str">
        <f t="shared" si="5"/>
        <v>Higher calorie; Moderate protein density; High carb; High fat</v>
      </c>
      <c r="L184" s="10" t="s">
        <v>854</v>
      </c>
      <c r="M184" s="10" t="s">
        <v>32</v>
      </c>
      <c r="N184" s="10" t="s">
        <v>33</v>
      </c>
    </row>
    <row r="185" spans="1:14" ht="34" customHeight="1">
      <c r="A185" s="9" t="s">
        <v>855</v>
      </c>
      <c r="B185" s="9" t="s">
        <v>143</v>
      </c>
      <c r="C185" s="10" t="s">
        <v>625</v>
      </c>
      <c r="D185" s="10" t="s">
        <v>856</v>
      </c>
      <c r="E185" s="10" t="s">
        <v>857</v>
      </c>
      <c r="F185" s="11">
        <v>670</v>
      </c>
      <c r="G185" s="11">
        <v>32</v>
      </c>
      <c r="H185" s="11">
        <v>45</v>
      </c>
      <c r="I185" s="11">
        <v>40</v>
      </c>
      <c r="J185" s="11">
        <f t="shared" si="4"/>
        <v>4.7761194029850751</v>
      </c>
      <c r="K185" s="10" t="str">
        <f t="shared" si="5"/>
        <v>Moderate calorie; Moderate protein density; Moderate carb; High fat</v>
      </c>
      <c r="L185" s="10" t="s">
        <v>858</v>
      </c>
      <c r="M185" s="10" t="s">
        <v>32</v>
      </c>
      <c r="N185" s="10" t="s">
        <v>33</v>
      </c>
    </row>
    <row r="186" spans="1:14" ht="34" customHeight="1">
      <c r="A186" s="9" t="s">
        <v>859</v>
      </c>
      <c r="B186" s="9" t="s">
        <v>386</v>
      </c>
      <c r="C186" s="10" t="s">
        <v>860</v>
      </c>
      <c r="D186" s="10" t="s">
        <v>861</v>
      </c>
      <c r="E186" s="10" t="s">
        <v>862</v>
      </c>
      <c r="F186" s="11">
        <v>460</v>
      </c>
      <c r="G186" s="11">
        <v>32</v>
      </c>
      <c r="H186" s="11">
        <v>33</v>
      </c>
      <c r="I186" s="11">
        <v>23</v>
      </c>
      <c r="J186" s="11">
        <f t="shared" si="4"/>
        <v>6.9565217391304346</v>
      </c>
      <c r="K186" s="10" t="str">
        <f t="shared" si="5"/>
        <v>Lower calorie; High protein density; Moderate carb; Moderate fat</v>
      </c>
      <c r="L186" s="10" t="s">
        <v>863</v>
      </c>
      <c r="M186" s="10" t="s">
        <v>32</v>
      </c>
      <c r="N186" s="10" t="s">
        <v>33</v>
      </c>
    </row>
    <row r="187" spans="1:14" ht="34" customHeight="1">
      <c r="A187" s="9" t="s">
        <v>864</v>
      </c>
      <c r="B187" s="9" t="s">
        <v>386</v>
      </c>
      <c r="C187" s="10" t="s">
        <v>362</v>
      </c>
      <c r="D187" s="10" t="s">
        <v>865</v>
      </c>
      <c r="E187" s="10" t="s">
        <v>866</v>
      </c>
      <c r="F187" s="11">
        <v>580</v>
      </c>
      <c r="G187" s="11">
        <v>49</v>
      </c>
      <c r="H187" s="11">
        <v>52</v>
      </c>
      <c r="I187" s="11">
        <v>20</v>
      </c>
      <c r="J187" s="11">
        <f t="shared" si="4"/>
        <v>8.4482758620689662</v>
      </c>
      <c r="K187" s="10" t="str">
        <f t="shared" si="5"/>
        <v>Lower calorie; High protein density; Moderate carb; Low fat</v>
      </c>
      <c r="L187" s="10" t="s">
        <v>867</v>
      </c>
      <c r="M187" s="10" t="s">
        <v>32</v>
      </c>
      <c r="N187" s="10" t="s">
        <v>33</v>
      </c>
    </row>
    <row r="188" spans="1:14" ht="34" customHeight="1">
      <c r="A188" s="9" t="s">
        <v>868</v>
      </c>
      <c r="B188" s="9" t="s">
        <v>162</v>
      </c>
      <c r="C188" s="10" t="s">
        <v>869</v>
      </c>
      <c r="D188" s="10" t="s">
        <v>870</v>
      </c>
      <c r="E188" s="10" t="s">
        <v>871</v>
      </c>
      <c r="F188" s="11">
        <v>560</v>
      </c>
      <c r="G188" s="11">
        <v>51</v>
      </c>
      <c r="H188" s="11">
        <v>37</v>
      </c>
      <c r="I188" s="11">
        <v>25</v>
      </c>
      <c r="J188" s="11">
        <f t="shared" si="4"/>
        <v>9.1071428571428559</v>
      </c>
      <c r="K188" s="10" t="str">
        <f t="shared" si="5"/>
        <v>Lower calorie; High protein density; Moderate carb; Moderate fat</v>
      </c>
      <c r="L188" s="10" t="s">
        <v>872</v>
      </c>
      <c r="M188" s="10" t="s">
        <v>32</v>
      </c>
      <c r="N188" s="10" t="s">
        <v>33</v>
      </c>
    </row>
    <row r="189" spans="1:14" ht="34" customHeight="1">
      <c r="A189" s="9" t="s">
        <v>873</v>
      </c>
      <c r="B189" s="9" t="s">
        <v>386</v>
      </c>
      <c r="C189" s="10" t="s">
        <v>874</v>
      </c>
      <c r="D189" s="10" t="s">
        <v>875</v>
      </c>
      <c r="E189" s="10" t="s">
        <v>876</v>
      </c>
      <c r="F189" s="11">
        <v>551</v>
      </c>
      <c r="G189" s="11">
        <v>38</v>
      </c>
      <c r="H189" s="11">
        <v>45</v>
      </c>
      <c r="I189" s="11">
        <v>23.7</v>
      </c>
      <c r="J189" s="11">
        <f t="shared" si="4"/>
        <v>6.8965517241379306</v>
      </c>
      <c r="K189" s="10" t="str">
        <f t="shared" si="5"/>
        <v>Lower calorie; High protein density; Moderate carb; Moderate fat</v>
      </c>
      <c r="L189" s="10" t="s">
        <v>877</v>
      </c>
      <c r="M189" s="10" t="s">
        <v>32</v>
      </c>
      <c r="N189" s="10" t="s">
        <v>33</v>
      </c>
    </row>
    <row r="190" spans="1:14" ht="34" customHeight="1">
      <c r="A190" s="9" t="s">
        <v>878</v>
      </c>
      <c r="B190" s="9" t="s">
        <v>162</v>
      </c>
      <c r="C190" s="10" t="s">
        <v>197</v>
      </c>
      <c r="D190" s="10" t="s">
        <v>879</v>
      </c>
      <c r="E190" s="10" t="s">
        <v>880</v>
      </c>
      <c r="F190" s="11">
        <v>570</v>
      </c>
      <c r="G190" s="11">
        <v>53</v>
      </c>
      <c r="H190" s="11">
        <v>40</v>
      </c>
      <c r="I190" s="11">
        <v>22</v>
      </c>
      <c r="J190" s="11">
        <f t="shared" si="4"/>
        <v>9.2982456140350873</v>
      </c>
      <c r="K190" s="10" t="str">
        <f t="shared" si="5"/>
        <v>Lower calorie; High protein density; Moderate carb; Moderate fat</v>
      </c>
      <c r="L190" s="10" t="s">
        <v>881</v>
      </c>
      <c r="M190" s="10" t="s">
        <v>32</v>
      </c>
      <c r="N190" s="10" t="s">
        <v>33</v>
      </c>
    </row>
    <row r="191" spans="1:14" ht="34" customHeight="1">
      <c r="A191" s="9" t="s">
        <v>882</v>
      </c>
      <c r="B191" s="9" t="s">
        <v>77</v>
      </c>
      <c r="C191" s="10" t="s">
        <v>883</v>
      </c>
      <c r="D191" s="10" t="s">
        <v>884</v>
      </c>
      <c r="E191" s="10" t="s">
        <v>885</v>
      </c>
      <c r="F191" s="11">
        <v>553</v>
      </c>
      <c r="G191" s="11">
        <v>52</v>
      </c>
      <c r="H191" s="11">
        <v>55</v>
      </c>
      <c r="I191" s="11">
        <v>13.6</v>
      </c>
      <c r="J191" s="11">
        <f t="shared" si="4"/>
        <v>9.4032549728752262</v>
      </c>
      <c r="K191" s="10" t="str">
        <f t="shared" si="5"/>
        <v>Lower calorie; High protein density; Moderate carb; Low fat</v>
      </c>
      <c r="L191" s="10" t="s">
        <v>886</v>
      </c>
      <c r="M191" s="10" t="s">
        <v>32</v>
      </c>
      <c r="N191" s="10" t="s">
        <v>33</v>
      </c>
    </row>
    <row r="192" spans="1:14" ht="34" customHeight="1">
      <c r="A192" s="9" t="s">
        <v>887</v>
      </c>
      <c r="B192" s="9" t="s">
        <v>888</v>
      </c>
      <c r="C192" s="10" t="s">
        <v>410</v>
      </c>
      <c r="D192" s="10" t="s">
        <v>889</v>
      </c>
      <c r="E192" s="10" t="s">
        <v>890</v>
      </c>
      <c r="F192" s="11">
        <v>780</v>
      </c>
      <c r="G192" s="11">
        <v>47</v>
      </c>
      <c r="H192" s="11">
        <v>33</v>
      </c>
      <c r="I192" s="11">
        <v>56</v>
      </c>
      <c r="J192" s="11">
        <f t="shared" si="4"/>
        <v>6.0256410256410255</v>
      </c>
      <c r="K192" s="10" t="str">
        <f t="shared" si="5"/>
        <v>Moderate calorie; High protein density; Moderate carb; High fat</v>
      </c>
      <c r="L192" s="10" t="s">
        <v>891</v>
      </c>
      <c r="M192" s="10" t="s">
        <v>32</v>
      </c>
      <c r="N192" s="10" t="s">
        <v>33</v>
      </c>
    </row>
    <row r="193" spans="1:14" ht="34" customHeight="1">
      <c r="A193" s="9" t="s">
        <v>892</v>
      </c>
      <c r="B193" s="9" t="s">
        <v>77</v>
      </c>
      <c r="C193" s="10" t="s">
        <v>893</v>
      </c>
      <c r="D193" s="10" t="s">
        <v>894</v>
      </c>
      <c r="E193" s="10" t="s">
        <v>895</v>
      </c>
      <c r="F193" s="11">
        <v>440</v>
      </c>
      <c r="G193" s="11">
        <v>28</v>
      </c>
      <c r="H193" s="11">
        <v>46</v>
      </c>
      <c r="I193" s="11">
        <v>17</v>
      </c>
      <c r="J193" s="11">
        <f t="shared" si="4"/>
        <v>6.3636363636363633</v>
      </c>
      <c r="K193" s="10" t="str">
        <f t="shared" si="5"/>
        <v>Lower calorie; High protein density; Moderate carb; Low fat</v>
      </c>
      <c r="L193" s="10" t="s">
        <v>896</v>
      </c>
      <c r="M193" s="10" t="s">
        <v>32</v>
      </c>
      <c r="N193" s="10" t="s">
        <v>33</v>
      </c>
    </row>
    <row r="194" spans="1:14" ht="34" customHeight="1">
      <c r="A194" s="9" t="s">
        <v>897</v>
      </c>
      <c r="B194" s="9" t="s">
        <v>113</v>
      </c>
      <c r="C194" s="10" t="s">
        <v>430</v>
      </c>
      <c r="D194" s="10" t="s">
        <v>898</v>
      </c>
      <c r="E194" s="10" t="s">
        <v>899</v>
      </c>
      <c r="F194" s="11">
        <v>540</v>
      </c>
      <c r="G194" s="11">
        <v>20</v>
      </c>
      <c r="H194" s="11">
        <v>69</v>
      </c>
      <c r="I194" s="11">
        <v>21</v>
      </c>
      <c r="J194" s="11">
        <f t="shared" si="4"/>
        <v>3.7037037037037033</v>
      </c>
      <c r="K194" s="10" t="str">
        <f t="shared" si="5"/>
        <v>Lower calorie; Moderate protein density; Moderate carb; Moderate fat</v>
      </c>
      <c r="L194" s="10" t="s">
        <v>900</v>
      </c>
      <c r="M194" s="10" t="s">
        <v>32</v>
      </c>
      <c r="N194" s="10" t="s">
        <v>33</v>
      </c>
    </row>
    <row r="195" spans="1:14" ht="34" customHeight="1">
      <c r="A195" s="9" t="s">
        <v>901</v>
      </c>
      <c r="B195" s="9" t="s">
        <v>206</v>
      </c>
      <c r="C195" s="10" t="s">
        <v>902</v>
      </c>
      <c r="D195" s="10" t="s">
        <v>903</v>
      </c>
      <c r="E195" s="10" t="s">
        <v>904</v>
      </c>
      <c r="F195" s="11">
        <v>710</v>
      </c>
      <c r="G195" s="11">
        <v>39</v>
      </c>
      <c r="H195" s="11">
        <v>29</v>
      </c>
      <c r="I195" s="11">
        <v>50</v>
      </c>
      <c r="J195" s="11">
        <f t="shared" si="4"/>
        <v>5.4929577464788739</v>
      </c>
      <c r="K195" s="10" t="str">
        <f t="shared" si="5"/>
        <v>Moderate calorie; High protein density; Low carb; High fat</v>
      </c>
      <c r="L195" s="10" t="s">
        <v>905</v>
      </c>
      <c r="M195" s="10" t="s">
        <v>32</v>
      </c>
      <c r="N195" s="10" t="s">
        <v>33</v>
      </c>
    </row>
    <row r="196" spans="1:14" ht="34" customHeight="1">
      <c r="A196" s="9" t="s">
        <v>906</v>
      </c>
      <c r="B196" s="9" t="s">
        <v>47</v>
      </c>
      <c r="C196" s="10" t="s">
        <v>28</v>
      </c>
      <c r="D196" s="10" t="s">
        <v>907</v>
      </c>
      <c r="E196" s="10" t="s">
        <v>908</v>
      </c>
      <c r="F196" s="11">
        <v>981</v>
      </c>
      <c r="G196" s="11">
        <v>43</v>
      </c>
      <c r="H196" s="11">
        <v>60</v>
      </c>
      <c r="I196" s="11">
        <v>64.2</v>
      </c>
      <c r="J196" s="11">
        <f t="shared" si="4"/>
        <v>4.3832823649337413</v>
      </c>
      <c r="K196" s="10" t="str">
        <f t="shared" si="5"/>
        <v>Higher calorie; Moderate protein density; Moderate carb; High fat</v>
      </c>
      <c r="L196" s="10" t="s">
        <v>909</v>
      </c>
      <c r="M196" s="10" t="s">
        <v>32</v>
      </c>
      <c r="N196" s="10" t="s">
        <v>33</v>
      </c>
    </row>
    <row r="197" spans="1:14" ht="34" customHeight="1">
      <c r="A197" s="9" t="s">
        <v>910</v>
      </c>
      <c r="B197" s="9" t="s">
        <v>280</v>
      </c>
      <c r="C197" s="10" t="s">
        <v>911</v>
      </c>
      <c r="D197" s="10" t="s">
        <v>912</v>
      </c>
      <c r="E197" s="10" t="s">
        <v>913</v>
      </c>
      <c r="F197" s="11">
        <v>530</v>
      </c>
      <c r="G197" s="11">
        <v>26</v>
      </c>
      <c r="H197" s="11">
        <v>45</v>
      </c>
      <c r="I197" s="11">
        <v>29</v>
      </c>
      <c r="J197" s="11">
        <f t="shared" si="4"/>
        <v>4.9056603773584913</v>
      </c>
      <c r="K197" s="10" t="str">
        <f t="shared" si="5"/>
        <v>Lower calorie; Moderate protein density; Moderate carb; Moderate fat</v>
      </c>
      <c r="L197" s="10" t="s">
        <v>914</v>
      </c>
      <c r="M197" s="10" t="s">
        <v>32</v>
      </c>
      <c r="N197" s="10" t="s">
        <v>33</v>
      </c>
    </row>
    <row r="198" spans="1:14" ht="34" customHeight="1">
      <c r="A198" s="9" t="s">
        <v>915</v>
      </c>
      <c r="B198" s="9" t="s">
        <v>125</v>
      </c>
      <c r="C198" s="10" t="s">
        <v>96</v>
      </c>
      <c r="D198" s="10" t="s">
        <v>916</v>
      </c>
      <c r="E198" s="10" t="s">
        <v>917</v>
      </c>
      <c r="F198" s="11">
        <v>330</v>
      </c>
      <c r="G198" s="11">
        <v>13</v>
      </c>
      <c r="H198" s="11">
        <v>28</v>
      </c>
      <c r="I198" s="11">
        <v>18</v>
      </c>
      <c r="J198" s="11">
        <f t="shared" si="4"/>
        <v>3.939393939393939</v>
      </c>
      <c r="K198" s="10" t="str">
        <f t="shared" si="5"/>
        <v>Lower calorie; Moderate protein density; Low carb; Low fat</v>
      </c>
      <c r="L198" s="10" t="s">
        <v>918</v>
      </c>
      <c r="M198" s="10" t="s">
        <v>32</v>
      </c>
      <c r="N198" s="10" t="s">
        <v>33</v>
      </c>
    </row>
    <row r="199" spans="1:14" ht="34" customHeight="1">
      <c r="A199" s="9" t="s">
        <v>919</v>
      </c>
      <c r="B199" s="9" t="s">
        <v>350</v>
      </c>
      <c r="C199" s="10" t="s">
        <v>96</v>
      </c>
      <c r="D199" s="10" t="s">
        <v>920</v>
      </c>
      <c r="E199" s="10" t="s">
        <v>921</v>
      </c>
      <c r="F199" s="11">
        <v>430</v>
      </c>
      <c r="G199" s="11">
        <v>16</v>
      </c>
      <c r="H199" s="11">
        <v>49</v>
      </c>
      <c r="I199" s="11">
        <v>19</v>
      </c>
      <c r="J199" s="11">
        <f t="shared" si="4"/>
        <v>3.7209302325581395</v>
      </c>
      <c r="K199" s="10" t="str">
        <f t="shared" si="5"/>
        <v>Lower calorie; Moderate protein density; Moderate carb; Low fat</v>
      </c>
      <c r="L199" s="10" t="s">
        <v>922</v>
      </c>
      <c r="M199" s="10" t="s">
        <v>32</v>
      </c>
      <c r="N199" s="10" t="s">
        <v>33</v>
      </c>
    </row>
    <row r="200" spans="1:14" ht="34" customHeight="1">
      <c r="A200" s="9" t="s">
        <v>923</v>
      </c>
      <c r="B200" s="9" t="s">
        <v>726</v>
      </c>
      <c r="C200" s="10" t="s">
        <v>96</v>
      </c>
      <c r="D200" s="10" t="s">
        <v>924</v>
      </c>
      <c r="E200" s="10" t="s">
        <v>925</v>
      </c>
      <c r="F200" s="11">
        <v>970</v>
      </c>
      <c r="G200" s="11">
        <v>45</v>
      </c>
      <c r="H200" s="11">
        <v>79</v>
      </c>
      <c r="I200" s="11">
        <v>54</v>
      </c>
      <c r="J200" s="11">
        <f t="shared" ref="J200:J263" si="6">IF(OR(F200="",G200=""),"",G200/F200*100)</f>
        <v>4.6391752577319592</v>
      </c>
      <c r="K200" s="10" t="str">
        <f t="shared" ref="K200:K263" si="7">IF(OR(F200="",G200="",H200="",I200=""),"n.a.",IF(F200&lt;=600,"Lower calorie; ",IF(F200&gt;=800,"Higher calorie; ","Moderate calorie; "))&amp;IF(G200/F200*100&gt;=5,"High protein density; ",IF(G200/F200*100&gt;=3.5,"Moderate protein density; ","Low protein density; "))&amp;IF(H200&lt;=30,"Low carb; ",IF(H200&gt;=70,"High carb; ","Moderate carb; "))&amp;IF(I200&lt;=20,"Low fat",IF(I200&gt;=40,"High fat","Moderate fat")))</f>
        <v>Higher calorie; Moderate protein density; High carb; High fat</v>
      </c>
      <c r="L200" s="10" t="s">
        <v>926</v>
      </c>
      <c r="M200" s="10" t="s">
        <v>32</v>
      </c>
      <c r="N200" s="10" t="s">
        <v>33</v>
      </c>
    </row>
    <row r="201" spans="1:14" ht="34" customHeight="1">
      <c r="A201" s="9" t="s">
        <v>927</v>
      </c>
      <c r="B201" s="9" t="s">
        <v>190</v>
      </c>
      <c r="C201" s="10" t="s">
        <v>425</v>
      </c>
      <c r="D201" s="10" t="s">
        <v>928</v>
      </c>
      <c r="E201" s="10" t="s">
        <v>929</v>
      </c>
      <c r="F201" s="11">
        <v>706</v>
      </c>
      <c r="G201" s="11">
        <v>32</v>
      </c>
      <c r="H201" s="11">
        <v>67</v>
      </c>
      <c r="I201" s="11">
        <v>36.4</v>
      </c>
      <c r="J201" s="11">
        <f t="shared" si="6"/>
        <v>4.5325779036827196</v>
      </c>
      <c r="K201" s="10" t="str">
        <f t="shared" si="7"/>
        <v>Moderate calorie; Moderate protein density; Moderate carb; Moderate fat</v>
      </c>
      <c r="L201" s="10" t="s">
        <v>930</v>
      </c>
      <c r="M201" s="10" t="s">
        <v>32</v>
      </c>
      <c r="N201" s="10" t="s">
        <v>33</v>
      </c>
    </row>
    <row r="202" spans="1:14" ht="34" customHeight="1">
      <c r="A202" s="9" t="s">
        <v>931</v>
      </c>
      <c r="B202" s="9" t="s">
        <v>296</v>
      </c>
      <c r="C202" s="10" t="s">
        <v>932</v>
      </c>
      <c r="D202" s="10" t="s">
        <v>933</v>
      </c>
      <c r="E202" s="10" t="s">
        <v>934</v>
      </c>
      <c r="F202" s="11">
        <v>380</v>
      </c>
      <c r="G202" s="11">
        <v>21</v>
      </c>
      <c r="H202" s="11">
        <v>57</v>
      </c>
      <c r="I202" s="11">
        <v>7</v>
      </c>
      <c r="J202" s="11">
        <f t="shared" si="6"/>
        <v>5.5263157894736841</v>
      </c>
      <c r="K202" s="10" t="str">
        <f t="shared" si="7"/>
        <v>Lower calorie; High protein density; Moderate carb; Low fat</v>
      </c>
      <c r="L202" s="10" t="s">
        <v>935</v>
      </c>
      <c r="M202" s="10" t="s">
        <v>32</v>
      </c>
      <c r="N202" s="10" t="s">
        <v>33</v>
      </c>
    </row>
    <row r="203" spans="1:14" ht="34" customHeight="1">
      <c r="A203" s="9" t="s">
        <v>936</v>
      </c>
      <c r="B203" s="9" t="s">
        <v>196</v>
      </c>
      <c r="C203" s="10" t="s">
        <v>120</v>
      </c>
      <c r="D203" s="10" t="s">
        <v>937</v>
      </c>
      <c r="E203" s="10" t="s">
        <v>938</v>
      </c>
      <c r="F203" s="11">
        <v>952</v>
      </c>
      <c r="G203" s="11">
        <v>41</v>
      </c>
      <c r="H203" s="11">
        <v>76</v>
      </c>
      <c r="I203" s="11">
        <v>53.5</v>
      </c>
      <c r="J203" s="11">
        <f t="shared" si="6"/>
        <v>4.3067226890756301</v>
      </c>
      <c r="K203" s="10" t="str">
        <f t="shared" si="7"/>
        <v>Higher calorie; Moderate protein density; High carb; High fat</v>
      </c>
      <c r="L203" s="10" t="s">
        <v>939</v>
      </c>
      <c r="M203" s="10" t="s">
        <v>32</v>
      </c>
      <c r="N203" s="10" t="s">
        <v>33</v>
      </c>
    </row>
    <row r="204" spans="1:14" ht="34" customHeight="1">
      <c r="A204" s="9" t="s">
        <v>940</v>
      </c>
      <c r="B204" s="9" t="s">
        <v>196</v>
      </c>
      <c r="C204" s="10" t="s">
        <v>120</v>
      </c>
      <c r="D204" s="10" t="s">
        <v>941</v>
      </c>
      <c r="E204" s="10" t="s">
        <v>942</v>
      </c>
      <c r="F204" s="11">
        <v>1048</v>
      </c>
      <c r="G204" s="11">
        <v>55</v>
      </c>
      <c r="H204" s="11">
        <v>79</v>
      </c>
      <c r="I204" s="11">
        <v>56.4</v>
      </c>
      <c r="J204" s="11">
        <f t="shared" si="6"/>
        <v>5.2480916030534353</v>
      </c>
      <c r="K204" s="10" t="str">
        <f t="shared" si="7"/>
        <v>Higher calorie; High protein density; High carb; High fat</v>
      </c>
      <c r="L204" s="10" t="s">
        <v>939</v>
      </c>
      <c r="M204" s="10" t="s">
        <v>32</v>
      </c>
      <c r="N204" s="10" t="s">
        <v>33</v>
      </c>
    </row>
    <row r="205" spans="1:14" ht="34" customHeight="1">
      <c r="A205" s="9" t="s">
        <v>943</v>
      </c>
      <c r="B205" s="9" t="s">
        <v>196</v>
      </c>
      <c r="C205" s="10" t="s">
        <v>144</v>
      </c>
      <c r="D205" s="10" t="s">
        <v>944</v>
      </c>
      <c r="E205" s="10" t="s">
        <v>945</v>
      </c>
      <c r="F205" s="11">
        <v>819</v>
      </c>
      <c r="G205" s="11">
        <v>42</v>
      </c>
      <c r="H205" s="11">
        <v>76</v>
      </c>
      <c r="I205" s="11">
        <v>40</v>
      </c>
      <c r="J205" s="11">
        <f t="shared" si="6"/>
        <v>5.1282051282051277</v>
      </c>
      <c r="K205" s="10" t="str">
        <f t="shared" si="7"/>
        <v>Higher calorie; High protein density; High carb; High fat</v>
      </c>
      <c r="L205" s="10" t="s">
        <v>946</v>
      </c>
      <c r="M205" s="10" t="s">
        <v>32</v>
      </c>
      <c r="N205" s="10" t="s">
        <v>33</v>
      </c>
    </row>
    <row r="206" spans="1:14" ht="34" customHeight="1">
      <c r="A206" s="9" t="s">
        <v>947</v>
      </c>
      <c r="B206" s="9" t="s">
        <v>196</v>
      </c>
      <c r="C206" s="10" t="s">
        <v>96</v>
      </c>
      <c r="D206" s="10" t="s">
        <v>948</v>
      </c>
      <c r="E206" s="10" t="s">
        <v>949</v>
      </c>
      <c r="F206" s="11">
        <v>964</v>
      </c>
      <c r="G206" s="11">
        <v>29</v>
      </c>
      <c r="H206" s="11">
        <v>98</v>
      </c>
      <c r="I206" s="11">
        <v>54.4</v>
      </c>
      <c r="J206" s="11">
        <f t="shared" si="6"/>
        <v>3.008298755186722</v>
      </c>
      <c r="K206" s="10" t="str">
        <f t="shared" si="7"/>
        <v>Higher calorie; Low protein density; High carb; High fat</v>
      </c>
      <c r="L206" s="10" t="s">
        <v>950</v>
      </c>
      <c r="M206" s="10" t="s">
        <v>32</v>
      </c>
      <c r="N206" s="10" t="s">
        <v>33</v>
      </c>
    </row>
    <row r="207" spans="1:14" ht="34" customHeight="1">
      <c r="A207" s="9" t="s">
        <v>951</v>
      </c>
      <c r="B207" s="9" t="s">
        <v>605</v>
      </c>
      <c r="C207" s="10" t="s">
        <v>952</v>
      </c>
      <c r="D207" s="10" t="s">
        <v>953</v>
      </c>
      <c r="E207" s="10" t="s">
        <v>954</v>
      </c>
      <c r="F207" s="11">
        <v>560</v>
      </c>
      <c r="G207" s="11">
        <v>9</v>
      </c>
      <c r="H207" s="11">
        <v>62</v>
      </c>
      <c r="I207" s="11">
        <v>32</v>
      </c>
      <c r="J207" s="11">
        <f t="shared" si="6"/>
        <v>1.607142857142857</v>
      </c>
      <c r="K207" s="10" t="str">
        <f t="shared" si="7"/>
        <v>Lower calorie; Low protein density; Moderate carb; Moderate fat</v>
      </c>
      <c r="L207" s="10" t="s">
        <v>955</v>
      </c>
      <c r="M207" s="10" t="s">
        <v>32</v>
      </c>
      <c r="N207" s="10" t="s">
        <v>33</v>
      </c>
    </row>
    <row r="208" spans="1:14" ht="34" customHeight="1">
      <c r="A208" s="9" t="s">
        <v>956</v>
      </c>
      <c r="B208" s="9" t="s">
        <v>59</v>
      </c>
      <c r="C208" s="10" t="s">
        <v>72</v>
      </c>
      <c r="D208" s="10" t="s">
        <v>957</v>
      </c>
      <c r="E208" s="10" t="s">
        <v>958</v>
      </c>
      <c r="F208" s="11">
        <v>870</v>
      </c>
      <c r="G208" s="11">
        <v>52</v>
      </c>
      <c r="H208" s="11">
        <v>69</v>
      </c>
      <c r="I208" s="11">
        <v>45</v>
      </c>
      <c r="J208" s="11">
        <f t="shared" si="6"/>
        <v>5.9770114942528734</v>
      </c>
      <c r="K208" s="10" t="str">
        <f t="shared" si="7"/>
        <v>Higher calorie; High protein density; Moderate carb; High fat</v>
      </c>
      <c r="L208" s="10" t="s">
        <v>959</v>
      </c>
      <c r="M208" s="10" t="s">
        <v>32</v>
      </c>
      <c r="N208" s="10" t="s">
        <v>33</v>
      </c>
    </row>
    <row r="209" spans="1:14" ht="34" customHeight="1">
      <c r="A209" s="9" t="s">
        <v>960</v>
      </c>
      <c r="B209" s="9" t="s">
        <v>162</v>
      </c>
      <c r="C209" s="10" t="s">
        <v>226</v>
      </c>
      <c r="D209" s="10" t="s">
        <v>961</v>
      </c>
      <c r="E209" s="10" t="s">
        <v>962</v>
      </c>
      <c r="F209" s="11">
        <v>650</v>
      </c>
      <c r="G209" s="11">
        <v>33</v>
      </c>
      <c r="H209" s="11">
        <v>69</v>
      </c>
      <c r="I209" s="11">
        <v>28</v>
      </c>
      <c r="J209" s="11">
        <f t="shared" si="6"/>
        <v>5.0769230769230766</v>
      </c>
      <c r="K209" s="10" t="str">
        <f t="shared" si="7"/>
        <v>Moderate calorie; High protein density; Moderate carb; Moderate fat</v>
      </c>
      <c r="L209" s="10" t="s">
        <v>963</v>
      </c>
      <c r="M209" s="10" t="s">
        <v>32</v>
      </c>
      <c r="N209" s="10" t="s">
        <v>33</v>
      </c>
    </row>
    <row r="210" spans="1:14" ht="34" customHeight="1">
      <c r="A210" s="9" t="s">
        <v>964</v>
      </c>
      <c r="B210" s="9" t="s">
        <v>137</v>
      </c>
      <c r="C210" s="10" t="s">
        <v>120</v>
      </c>
      <c r="D210" s="10" t="s">
        <v>965</v>
      </c>
      <c r="E210" s="10" t="s">
        <v>966</v>
      </c>
      <c r="F210" s="11">
        <v>785</v>
      </c>
      <c r="G210" s="11">
        <v>45</v>
      </c>
      <c r="H210" s="11">
        <v>68</v>
      </c>
      <c r="I210" s="11">
        <v>34.700000000000003</v>
      </c>
      <c r="J210" s="11">
        <f t="shared" si="6"/>
        <v>5.7324840764331215</v>
      </c>
      <c r="K210" s="10" t="str">
        <f t="shared" si="7"/>
        <v>Moderate calorie; High protein density; Moderate carb; Moderate fat</v>
      </c>
      <c r="L210" s="10" t="s">
        <v>967</v>
      </c>
      <c r="M210" s="10" t="s">
        <v>32</v>
      </c>
      <c r="N210" s="10" t="s">
        <v>33</v>
      </c>
    </row>
    <row r="211" spans="1:14" ht="34" customHeight="1">
      <c r="A211" s="9" t="s">
        <v>968</v>
      </c>
      <c r="B211" s="9" t="s">
        <v>190</v>
      </c>
      <c r="C211" s="10" t="s">
        <v>191</v>
      </c>
      <c r="D211" s="10" t="s">
        <v>969</v>
      </c>
      <c r="E211" s="10" t="s">
        <v>970</v>
      </c>
      <c r="F211" s="11">
        <v>406</v>
      </c>
      <c r="G211" s="11">
        <v>15</v>
      </c>
      <c r="H211" s="11">
        <v>59</v>
      </c>
      <c r="I211" s="11">
        <v>14.1</v>
      </c>
      <c r="J211" s="11">
        <f t="shared" si="6"/>
        <v>3.6945812807881775</v>
      </c>
      <c r="K211" s="10" t="str">
        <f t="shared" si="7"/>
        <v>Lower calorie; Moderate protein density; Moderate carb; Low fat</v>
      </c>
      <c r="L211" s="10" t="s">
        <v>971</v>
      </c>
      <c r="M211" s="10" t="s">
        <v>32</v>
      </c>
      <c r="N211" s="10" t="s">
        <v>33</v>
      </c>
    </row>
    <row r="212" spans="1:14" ht="34" customHeight="1">
      <c r="A212" s="9" t="s">
        <v>972</v>
      </c>
      <c r="B212" s="9" t="s">
        <v>340</v>
      </c>
      <c r="C212" s="10" t="s">
        <v>569</v>
      </c>
      <c r="D212" s="10" t="s">
        <v>973</v>
      </c>
      <c r="E212" s="10" t="s">
        <v>974</v>
      </c>
      <c r="F212" s="11">
        <v>790</v>
      </c>
      <c r="G212" s="11">
        <v>23</v>
      </c>
      <c r="H212" s="11">
        <v>54</v>
      </c>
      <c r="I212" s="11">
        <v>52</v>
      </c>
      <c r="J212" s="11">
        <f t="shared" si="6"/>
        <v>2.9113924050632911</v>
      </c>
      <c r="K212" s="10" t="str">
        <f t="shared" si="7"/>
        <v>Moderate calorie; Low protein density; Moderate carb; High fat</v>
      </c>
      <c r="L212" s="10" t="s">
        <v>975</v>
      </c>
      <c r="M212" s="10" t="s">
        <v>32</v>
      </c>
      <c r="N212" s="10" t="s">
        <v>33</v>
      </c>
    </row>
    <row r="213" spans="1:14" ht="34" customHeight="1">
      <c r="A213" s="9" t="s">
        <v>976</v>
      </c>
      <c r="B213" s="9" t="s">
        <v>386</v>
      </c>
      <c r="C213" s="10" t="s">
        <v>120</v>
      </c>
      <c r="D213" s="10" t="s">
        <v>977</v>
      </c>
      <c r="E213" s="10" t="s">
        <v>978</v>
      </c>
      <c r="F213" s="11">
        <v>870</v>
      </c>
      <c r="G213" s="11">
        <v>41</v>
      </c>
      <c r="H213" s="11">
        <v>49</v>
      </c>
      <c r="I213" s="11">
        <v>57</v>
      </c>
      <c r="J213" s="11">
        <f t="shared" si="6"/>
        <v>4.7126436781609193</v>
      </c>
      <c r="K213" s="10" t="str">
        <f t="shared" si="7"/>
        <v>Higher calorie; Moderate protein density; Moderate carb; High fat</v>
      </c>
      <c r="L213" s="10" t="s">
        <v>946</v>
      </c>
      <c r="M213" s="10" t="s">
        <v>32</v>
      </c>
      <c r="N213" s="10" t="s">
        <v>33</v>
      </c>
    </row>
    <row r="214" spans="1:14" ht="34" customHeight="1">
      <c r="A214" s="9" t="s">
        <v>979</v>
      </c>
      <c r="B214" s="9" t="s">
        <v>221</v>
      </c>
      <c r="C214" s="10" t="s">
        <v>179</v>
      </c>
      <c r="D214" s="10" t="s">
        <v>980</v>
      </c>
      <c r="E214" s="10" t="s">
        <v>981</v>
      </c>
      <c r="F214" s="11">
        <v>490</v>
      </c>
      <c r="G214" s="11">
        <v>15</v>
      </c>
      <c r="H214" s="11">
        <v>59</v>
      </c>
      <c r="I214" s="11">
        <v>22</v>
      </c>
      <c r="J214" s="11">
        <f t="shared" si="6"/>
        <v>3.0612244897959182</v>
      </c>
      <c r="K214" s="10" t="str">
        <f t="shared" si="7"/>
        <v>Lower calorie; Low protein density; Moderate carb; Moderate fat</v>
      </c>
      <c r="L214" s="10" t="s">
        <v>982</v>
      </c>
      <c r="M214" s="10" t="s">
        <v>32</v>
      </c>
      <c r="N214" s="10" t="s">
        <v>33</v>
      </c>
    </row>
    <row r="215" spans="1:14" ht="34" customHeight="1">
      <c r="A215" s="9" t="s">
        <v>983</v>
      </c>
      <c r="B215" s="9" t="s">
        <v>340</v>
      </c>
      <c r="C215" s="10" t="s">
        <v>144</v>
      </c>
      <c r="D215" s="10" t="s">
        <v>984</v>
      </c>
      <c r="E215" s="10" t="s">
        <v>985</v>
      </c>
      <c r="F215" s="11">
        <v>790</v>
      </c>
      <c r="G215" s="11">
        <v>50</v>
      </c>
      <c r="H215" s="11">
        <v>56</v>
      </c>
      <c r="I215" s="11">
        <v>39</v>
      </c>
      <c r="J215" s="11">
        <f t="shared" si="6"/>
        <v>6.3291139240506329</v>
      </c>
      <c r="K215" s="10" t="str">
        <f t="shared" si="7"/>
        <v>Moderate calorie; High protein density; Moderate carb; Moderate fat</v>
      </c>
      <c r="L215" s="10" t="s">
        <v>986</v>
      </c>
      <c r="M215" s="10" t="s">
        <v>32</v>
      </c>
      <c r="N215" s="10" t="s">
        <v>33</v>
      </c>
    </row>
    <row r="216" spans="1:14" ht="34" customHeight="1">
      <c r="A216" s="9" t="s">
        <v>987</v>
      </c>
      <c r="B216" s="9" t="s">
        <v>47</v>
      </c>
      <c r="C216" s="10" t="s">
        <v>764</v>
      </c>
      <c r="D216" s="10" t="s">
        <v>988</v>
      </c>
      <c r="E216" s="10" t="s">
        <v>989</v>
      </c>
      <c r="F216" s="11">
        <v>590</v>
      </c>
      <c r="G216" s="11">
        <v>59</v>
      </c>
      <c r="H216" s="11">
        <v>49</v>
      </c>
      <c r="I216" s="11">
        <v>17</v>
      </c>
      <c r="J216" s="11">
        <f t="shared" si="6"/>
        <v>10</v>
      </c>
      <c r="K216" s="10" t="str">
        <f t="shared" si="7"/>
        <v>Lower calorie; High protein density; Moderate carb; Low fat</v>
      </c>
      <c r="L216" s="10" t="s">
        <v>990</v>
      </c>
      <c r="M216" s="10" t="s">
        <v>32</v>
      </c>
      <c r="N216" s="10" t="s">
        <v>33</v>
      </c>
    </row>
    <row r="217" spans="1:14" ht="34" customHeight="1">
      <c r="A217" s="9" t="s">
        <v>991</v>
      </c>
      <c r="B217" s="9" t="s">
        <v>529</v>
      </c>
      <c r="C217" s="10" t="s">
        <v>138</v>
      </c>
      <c r="D217" s="10" t="s">
        <v>992</v>
      </c>
      <c r="E217" s="10" t="s">
        <v>993</v>
      </c>
      <c r="F217" s="11">
        <v>570</v>
      </c>
      <c r="G217" s="11">
        <v>21</v>
      </c>
      <c r="H217" s="11">
        <v>13</v>
      </c>
      <c r="I217" s="11">
        <v>47</v>
      </c>
      <c r="J217" s="11">
        <f t="shared" si="6"/>
        <v>3.6842105263157889</v>
      </c>
      <c r="K217" s="10" t="str">
        <f t="shared" si="7"/>
        <v>Lower calorie; Moderate protein density; Low carb; High fat</v>
      </c>
      <c r="L217" s="10" t="s">
        <v>994</v>
      </c>
      <c r="M217" s="10" t="s">
        <v>32</v>
      </c>
      <c r="N217" s="10" t="s">
        <v>33</v>
      </c>
    </row>
    <row r="218" spans="1:14" ht="34" customHeight="1">
      <c r="A218" s="9" t="s">
        <v>995</v>
      </c>
      <c r="B218" s="9" t="s">
        <v>71</v>
      </c>
      <c r="C218" s="10" t="s">
        <v>587</v>
      </c>
      <c r="D218" s="10" t="s">
        <v>996</v>
      </c>
      <c r="E218" s="10" t="s">
        <v>997</v>
      </c>
      <c r="F218" s="11">
        <v>880</v>
      </c>
      <c r="G218" s="11">
        <v>22</v>
      </c>
      <c r="H218" s="11">
        <v>101</v>
      </c>
      <c r="I218" s="11">
        <v>45</v>
      </c>
      <c r="J218" s="11">
        <f t="shared" si="6"/>
        <v>2.5</v>
      </c>
      <c r="K218" s="10" t="str">
        <f t="shared" si="7"/>
        <v>Higher calorie; Low protein density; High carb; High fat</v>
      </c>
      <c r="L218" s="10" t="s">
        <v>998</v>
      </c>
      <c r="M218" s="10" t="s">
        <v>32</v>
      </c>
      <c r="N218" s="10" t="s">
        <v>33</v>
      </c>
    </row>
    <row r="219" spans="1:14" ht="34" customHeight="1">
      <c r="A219" s="9" t="s">
        <v>999</v>
      </c>
      <c r="B219" s="9" t="s">
        <v>77</v>
      </c>
      <c r="C219" s="10" t="s">
        <v>138</v>
      </c>
      <c r="D219" s="10" t="s">
        <v>1000</v>
      </c>
      <c r="E219" s="10" t="s">
        <v>1001</v>
      </c>
      <c r="F219" s="11">
        <v>510</v>
      </c>
      <c r="G219" s="11">
        <v>37</v>
      </c>
      <c r="H219" s="11">
        <v>14</v>
      </c>
      <c r="I219" s="11">
        <v>36.1</v>
      </c>
      <c r="J219" s="11">
        <f t="shared" si="6"/>
        <v>7.2549019607843146</v>
      </c>
      <c r="K219" s="10" t="str">
        <f t="shared" si="7"/>
        <v>Lower calorie; High protein density; Low carb; Moderate fat</v>
      </c>
      <c r="L219" s="10" t="s">
        <v>1002</v>
      </c>
      <c r="M219" s="10" t="s">
        <v>32</v>
      </c>
      <c r="N219" s="10" t="s">
        <v>33</v>
      </c>
    </row>
    <row r="220" spans="1:14" ht="34" customHeight="1">
      <c r="A220" s="9" t="s">
        <v>1003</v>
      </c>
      <c r="B220" s="9" t="s">
        <v>143</v>
      </c>
      <c r="C220" s="10" t="s">
        <v>625</v>
      </c>
      <c r="D220" s="10" t="s">
        <v>1004</v>
      </c>
      <c r="E220" s="10" t="s">
        <v>1005</v>
      </c>
      <c r="F220" s="11">
        <v>1150</v>
      </c>
      <c r="G220" s="11">
        <v>43</v>
      </c>
      <c r="H220" s="11">
        <v>52</v>
      </c>
      <c r="I220" s="11">
        <v>83</v>
      </c>
      <c r="J220" s="11">
        <f t="shared" si="6"/>
        <v>3.7391304347826089</v>
      </c>
      <c r="K220" s="10" t="str">
        <f t="shared" si="7"/>
        <v>Higher calorie; Moderate protein density; Moderate carb; High fat</v>
      </c>
      <c r="L220" s="10" t="s">
        <v>147</v>
      </c>
      <c r="M220" s="10" t="s">
        <v>32</v>
      </c>
      <c r="N220" s="10" t="s">
        <v>33</v>
      </c>
    </row>
    <row r="221" spans="1:14" ht="34" customHeight="1">
      <c r="A221" s="9" t="s">
        <v>1006</v>
      </c>
      <c r="B221" s="9" t="s">
        <v>101</v>
      </c>
      <c r="C221" s="10" t="s">
        <v>120</v>
      </c>
      <c r="D221" s="10" t="s">
        <v>1007</v>
      </c>
      <c r="E221" s="10" t="s">
        <v>1008</v>
      </c>
      <c r="F221" s="11">
        <v>780</v>
      </c>
      <c r="G221" s="11">
        <v>45</v>
      </c>
      <c r="H221" s="11">
        <v>95</v>
      </c>
      <c r="I221" s="11">
        <v>29</v>
      </c>
      <c r="J221" s="11">
        <f t="shared" si="6"/>
        <v>5.7692307692307692</v>
      </c>
      <c r="K221" s="10" t="str">
        <f t="shared" si="7"/>
        <v>Moderate calorie; High protein density; High carb; Moderate fat</v>
      </c>
      <c r="L221" s="10" t="s">
        <v>1009</v>
      </c>
      <c r="M221" s="10" t="s">
        <v>32</v>
      </c>
      <c r="N221" s="10" t="s">
        <v>33</v>
      </c>
    </row>
    <row r="222" spans="1:14" ht="34" customHeight="1">
      <c r="A222" s="9" t="s">
        <v>1010</v>
      </c>
      <c r="B222" s="9" t="s">
        <v>235</v>
      </c>
      <c r="C222" s="10" t="s">
        <v>120</v>
      </c>
      <c r="D222" s="10" t="s">
        <v>1011</v>
      </c>
      <c r="E222" s="10" t="s">
        <v>1012</v>
      </c>
      <c r="F222" s="11">
        <v>650</v>
      </c>
      <c r="G222" s="11">
        <v>30</v>
      </c>
      <c r="H222" s="11">
        <v>41</v>
      </c>
      <c r="I222" s="11">
        <v>38</v>
      </c>
      <c r="J222" s="11">
        <f t="shared" si="6"/>
        <v>4.6153846153846159</v>
      </c>
      <c r="K222" s="10" t="str">
        <f t="shared" si="7"/>
        <v>Moderate calorie; Moderate protein density; Moderate carb; Moderate fat</v>
      </c>
      <c r="L222" s="10" t="s">
        <v>1013</v>
      </c>
      <c r="M222" s="10" t="s">
        <v>32</v>
      </c>
      <c r="N222" s="10" t="s">
        <v>33</v>
      </c>
    </row>
    <row r="223" spans="1:14" ht="34" customHeight="1">
      <c r="A223" s="9" t="s">
        <v>1014</v>
      </c>
      <c r="B223" s="9" t="s">
        <v>888</v>
      </c>
      <c r="C223" s="10" t="s">
        <v>120</v>
      </c>
      <c r="D223" s="10" t="s">
        <v>1015</v>
      </c>
      <c r="E223" s="10" t="s">
        <v>1016</v>
      </c>
      <c r="F223" s="11">
        <v>830</v>
      </c>
      <c r="G223" s="11">
        <v>62</v>
      </c>
      <c r="H223" s="11">
        <v>105</v>
      </c>
      <c r="I223" s="11">
        <v>18</v>
      </c>
      <c r="J223" s="11">
        <f t="shared" si="6"/>
        <v>7.4698795180722897</v>
      </c>
      <c r="K223" s="10" t="str">
        <f t="shared" si="7"/>
        <v>Higher calorie; High protein density; High carb; Low fat</v>
      </c>
      <c r="L223" s="10" t="s">
        <v>1017</v>
      </c>
      <c r="M223" s="10" t="s">
        <v>32</v>
      </c>
      <c r="N223" s="10" t="s">
        <v>33</v>
      </c>
    </row>
    <row r="224" spans="1:14" ht="34" customHeight="1">
      <c r="A224" s="9" t="s">
        <v>1018</v>
      </c>
      <c r="B224" s="9" t="s">
        <v>235</v>
      </c>
      <c r="C224" s="10" t="s">
        <v>738</v>
      </c>
      <c r="D224" s="10" t="s">
        <v>1019</v>
      </c>
      <c r="E224" s="10" t="s">
        <v>1020</v>
      </c>
      <c r="F224" s="11">
        <v>885</v>
      </c>
      <c r="G224" s="11">
        <v>36</v>
      </c>
      <c r="H224" s="11">
        <v>65</v>
      </c>
      <c r="I224" s="11">
        <v>54.2</v>
      </c>
      <c r="J224" s="11">
        <f t="shared" si="6"/>
        <v>4.0677966101694913</v>
      </c>
      <c r="K224" s="10" t="str">
        <f t="shared" si="7"/>
        <v>Higher calorie; Moderate protein density; Moderate carb; High fat</v>
      </c>
      <c r="L224" s="10" t="s">
        <v>1021</v>
      </c>
      <c r="M224" s="10" t="s">
        <v>32</v>
      </c>
      <c r="N224" s="10" t="s">
        <v>33</v>
      </c>
    </row>
    <row r="225" spans="1:14" ht="34" customHeight="1">
      <c r="A225" s="9" t="s">
        <v>1022</v>
      </c>
      <c r="B225" s="9" t="s">
        <v>496</v>
      </c>
      <c r="C225" s="10" t="s">
        <v>1023</v>
      </c>
      <c r="D225" s="10" t="s">
        <v>1024</v>
      </c>
      <c r="E225" s="10" t="s">
        <v>1025</v>
      </c>
      <c r="F225" s="11">
        <v>1270</v>
      </c>
      <c r="G225" s="11">
        <v>62</v>
      </c>
      <c r="H225" s="11">
        <v>17</v>
      </c>
      <c r="I225" s="11">
        <v>107</v>
      </c>
      <c r="J225" s="11">
        <f t="shared" si="6"/>
        <v>4.8818897637795278</v>
      </c>
      <c r="K225" s="10" t="str">
        <f t="shared" si="7"/>
        <v>Higher calorie; Moderate protein density; Low carb; High fat</v>
      </c>
      <c r="L225" s="10" t="s">
        <v>1026</v>
      </c>
      <c r="M225" s="10" t="s">
        <v>32</v>
      </c>
      <c r="N225" s="10" t="s">
        <v>33</v>
      </c>
    </row>
    <row r="226" spans="1:14" ht="34" customHeight="1">
      <c r="A226" s="9" t="s">
        <v>1027</v>
      </c>
      <c r="B226" s="9" t="s">
        <v>154</v>
      </c>
      <c r="C226" s="10" t="s">
        <v>120</v>
      </c>
      <c r="D226" s="10" t="s">
        <v>1028</v>
      </c>
      <c r="E226" s="10" t="s">
        <v>1029</v>
      </c>
      <c r="F226" s="11">
        <v>940</v>
      </c>
      <c r="G226" s="11">
        <v>41</v>
      </c>
      <c r="H226" s="11">
        <v>71</v>
      </c>
      <c r="I226" s="11">
        <v>53</v>
      </c>
      <c r="J226" s="11">
        <f t="shared" si="6"/>
        <v>4.3617021276595747</v>
      </c>
      <c r="K226" s="10" t="str">
        <f t="shared" si="7"/>
        <v>Higher calorie; Moderate protein density; High carb; High fat</v>
      </c>
      <c r="L226" s="10" t="s">
        <v>1030</v>
      </c>
      <c r="M226" s="10" t="s">
        <v>32</v>
      </c>
      <c r="N226" s="10" t="s">
        <v>33</v>
      </c>
    </row>
    <row r="227" spans="1:14" ht="34" customHeight="1">
      <c r="A227" s="9" t="s">
        <v>1031</v>
      </c>
      <c r="B227" s="9" t="s">
        <v>137</v>
      </c>
      <c r="C227" s="10" t="s">
        <v>96</v>
      </c>
      <c r="D227" s="10" t="s">
        <v>1032</v>
      </c>
      <c r="E227" s="10" t="s">
        <v>1033</v>
      </c>
      <c r="F227" s="11">
        <v>850</v>
      </c>
      <c r="G227" s="11">
        <v>21</v>
      </c>
      <c r="H227" s="11">
        <v>74</v>
      </c>
      <c r="I227" s="11">
        <v>51</v>
      </c>
      <c r="J227" s="11">
        <f t="shared" si="6"/>
        <v>2.4705882352941173</v>
      </c>
      <c r="K227" s="10" t="str">
        <f t="shared" si="7"/>
        <v>Higher calorie; Low protein density; High carb; High fat</v>
      </c>
      <c r="L227" s="10" t="s">
        <v>1034</v>
      </c>
      <c r="M227" s="10" t="s">
        <v>32</v>
      </c>
      <c r="N227" s="10" t="s">
        <v>33</v>
      </c>
    </row>
    <row r="228" spans="1:14" ht="34" customHeight="1">
      <c r="A228" s="9" t="s">
        <v>1035</v>
      </c>
      <c r="B228" s="9" t="s">
        <v>137</v>
      </c>
      <c r="C228" s="10" t="s">
        <v>120</v>
      </c>
      <c r="D228" s="10" t="s">
        <v>1036</v>
      </c>
      <c r="E228" s="10" t="s">
        <v>1037</v>
      </c>
      <c r="F228" s="11">
        <v>800</v>
      </c>
      <c r="G228" s="11">
        <v>31</v>
      </c>
      <c r="H228" s="11">
        <v>80</v>
      </c>
      <c r="I228" s="11">
        <v>38</v>
      </c>
      <c r="J228" s="11">
        <f t="shared" si="6"/>
        <v>3.875</v>
      </c>
      <c r="K228" s="10" t="str">
        <f t="shared" si="7"/>
        <v>Higher calorie; Moderate protein density; High carb; Moderate fat</v>
      </c>
      <c r="L228" s="10" t="s">
        <v>1038</v>
      </c>
      <c r="M228" s="10" t="s">
        <v>32</v>
      </c>
      <c r="N228" s="10" t="s">
        <v>33</v>
      </c>
    </row>
    <row r="229" spans="1:14" ht="34" customHeight="1">
      <c r="A229" s="9" t="s">
        <v>1039</v>
      </c>
      <c r="B229" s="9" t="s">
        <v>386</v>
      </c>
      <c r="C229" s="10" t="s">
        <v>1040</v>
      </c>
      <c r="D229" s="10" t="s">
        <v>1041</v>
      </c>
      <c r="E229" s="10" t="s">
        <v>1042</v>
      </c>
      <c r="F229" s="11">
        <v>720</v>
      </c>
      <c r="G229" s="11">
        <v>56</v>
      </c>
      <c r="H229" s="11">
        <v>32</v>
      </c>
      <c r="I229" s="11">
        <v>41</v>
      </c>
      <c r="J229" s="11">
        <f t="shared" si="6"/>
        <v>7.7777777777777777</v>
      </c>
      <c r="K229" s="10" t="str">
        <f t="shared" si="7"/>
        <v>Moderate calorie; High protein density; Moderate carb; High fat</v>
      </c>
      <c r="L229" s="10" t="s">
        <v>1043</v>
      </c>
      <c r="M229" s="10" t="s">
        <v>32</v>
      </c>
      <c r="N229" s="10" t="s">
        <v>33</v>
      </c>
    </row>
    <row r="230" spans="1:14" ht="34" customHeight="1">
      <c r="A230" s="9" t="s">
        <v>1044</v>
      </c>
      <c r="B230" s="9" t="s">
        <v>119</v>
      </c>
      <c r="C230" s="10" t="s">
        <v>120</v>
      </c>
      <c r="D230" s="10" t="s">
        <v>1045</v>
      </c>
      <c r="E230" s="10" t="s">
        <v>1046</v>
      </c>
      <c r="F230" s="11">
        <v>1080</v>
      </c>
      <c r="G230" s="11">
        <v>45</v>
      </c>
      <c r="H230" s="11">
        <v>70</v>
      </c>
      <c r="I230" s="11">
        <v>69</v>
      </c>
      <c r="J230" s="11">
        <f t="shared" si="6"/>
        <v>4.1666666666666661</v>
      </c>
      <c r="K230" s="10" t="str">
        <f t="shared" si="7"/>
        <v>Higher calorie; Moderate protein density; High carb; High fat</v>
      </c>
      <c r="L230" s="10" t="s">
        <v>1047</v>
      </c>
      <c r="M230" s="10" t="s">
        <v>32</v>
      </c>
      <c r="N230" s="10" t="s">
        <v>33</v>
      </c>
    </row>
    <row r="231" spans="1:14" ht="34" customHeight="1">
      <c r="A231" s="9" t="s">
        <v>1048</v>
      </c>
      <c r="B231" s="9" t="s">
        <v>726</v>
      </c>
      <c r="C231" s="10" t="s">
        <v>262</v>
      </c>
      <c r="D231" s="10" t="s">
        <v>1049</v>
      </c>
      <c r="E231" s="10" t="s">
        <v>1050</v>
      </c>
      <c r="F231" s="11">
        <v>750</v>
      </c>
      <c r="G231" s="11">
        <v>42</v>
      </c>
      <c r="H231" s="11">
        <v>54</v>
      </c>
      <c r="I231" s="11">
        <v>43</v>
      </c>
      <c r="J231" s="11">
        <f t="shared" si="6"/>
        <v>5.6000000000000005</v>
      </c>
      <c r="K231" s="10" t="str">
        <f t="shared" si="7"/>
        <v>Moderate calorie; High protein density; Moderate carb; High fat</v>
      </c>
      <c r="L231" s="10" t="s">
        <v>1051</v>
      </c>
      <c r="M231" s="10" t="s">
        <v>32</v>
      </c>
      <c r="N231" s="10" t="s">
        <v>33</v>
      </c>
    </row>
    <row r="232" spans="1:14" ht="34" customHeight="1">
      <c r="A232" s="9" t="s">
        <v>1052</v>
      </c>
      <c r="B232" s="9" t="s">
        <v>415</v>
      </c>
      <c r="C232" s="10" t="s">
        <v>1053</v>
      </c>
      <c r="D232" s="10" t="s">
        <v>1054</v>
      </c>
      <c r="E232" s="10" t="s">
        <v>1055</v>
      </c>
      <c r="F232" s="11">
        <v>770</v>
      </c>
      <c r="G232" s="11">
        <v>33</v>
      </c>
      <c r="H232" s="11">
        <v>29</v>
      </c>
      <c r="I232" s="11">
        <v>58</v>
      </c>
      <c r="J232" s="11">
        <f t="shared" si="6"/>
        <v>4.2857142857142856</v>
      </c>
      <c r="K232" s="10" t="str">
        <f t="shared" si="7"/>
        <v>Moderate calorie; Moderate protein density; Low carb; High fat</v>
      </c>
      <c r="L232" s="10" t="s">
        <v>1056</v>
      </c>
      <c r="M232" s="10" t="s">
        <v>32</v>
      </c>
      <c r="N232" s="10" t="s">
        <v>33</v>
      </c>
    </row>
    <row r="233" spans="1:14" ht="34" customHeight="1">
      <c r="A233" s="9" t="s">
        <v>1057</v>
      </c>
      <c r="B233" s="9" t="s">
        <v>113</v>
      </c>
      <c r="C233" s="10" t="s">
        <v>653</v>
      </c>
      <c r="D233" s="10" t="s">
        <v>1058</v>
      </c>
      <c r="E233" s="10" t="s">
        <v>1059</v>
      </c>
      <c r="F233" s="11">
        <v>520</v>
      </c>
      <c r="G233" s="11">
        <v>37</v>
      </c>
      <c r="H233" s="11">
        <v>45</v>
      </c>
      <c r="I233" s="11">
        <v>23</v>
      </c>
      <c r="J233" s="11">
        <f t="shared" si="6"/>
        <v>7.115384615384615</v>
      </c>
      <c r="K233" s="10" t="str">
        <f t="shared" si="7"/>
        <v>Lower calorie; High protein density; Moderate carb; Moderate fat</v>
      </c>
      <c r="L233" s="10" t="s">
        <v>1060</v>
      </c>
      <c r="M233" s="10" t="s">
        <v>32</v>
      </c>
      <c r="N233" s="10" t="s">
        <v>33</v>
      </c>
    </row>
    <row r="234" spans="1:14" ht="34" customHeight="1">
      <c r="A234" s="9" t="s">
        <v>1061</v>
      </c>
      <c r="B234" s="9" t="s">
        <v>350</v>
      </c>
      <c r="C234" s="10" t="s">
        <v>42</v>
      </c>
      <c r="D234" s="10" t="s">
        <v>1062</v>
      </c>
      <c r="E234" s="10" t="s">
        <v>1063</v>
      </c>
      <c r="F234" s="11">
        <v>740</v>
      </c>
      <c r="G234" s="11">
        <v>21</v>
      </c>
      <c r="H234" s="11">
        <v>111</v>
      </c>
      <c r="I234" s="11">
        <v>26</v>
      </c>
      <c r="J234" s="11">
        <f t="shared" si="6"/>
        <v>2.8378378378378382</v>
      </c>
      <c r="K234" s="10" t="str">
        <f t="shared" si="7"/>
        <v>Moderate calorie; Low protein density; High carb; Moderate fat</v>
      </c>
      <c r="L234" s="10" t="s">
        <v>1064</v>
      </c>
      <c r="M234" s="10" t="s">
        <v>32</v>
      </c>
      <c r="N234" s="10" t="s">
        <v>33</v>
      </c>
    </row>
    <row r="235" spans="1:14" ht="34" customHeight="1">
      <c r="A235" s="9" t="s">
        <v>1065</v>
      </c>
      <c r="B235" s="9" t="s">
        <v>350</v>
      </c>
      <c r="C235" s="10" t="s">
        <v>191</v>
      </c>
      <c r="D235" s="10" t="s">
        <v>1066</v>
      </c>
      <c r="E235" s="10" t="s">
        <v>1067</v>
      </c>
      <c r="F235" s="11">
        <v>530</v>
      </c>
      <c r="G235" s="11">
        <v>16</v>
      </c>
      <c r="H235" s="11">
        <v>63</v>
      </c>
      <c r="I235" s="11">
        <v>25</v>
      </c>
      <c r="J235" s="11">
        <f t="shared" si="6"/>
        <v>3.0188679245283021</v>
      </c>
      <c r="K235" s="10" t="str">
        <f t="shared" si="7"/>
        <v>Lower calorie; Low protein density; Moderate carb; Moderate fat</v>
      </c>
      <c r="L235" s="10" t="s">
        <v>1068</v>
      </c>
      <c r="M235" s="10" t="s">
        <v>32</v>
      </c>
      <c r="N235" s="10" t="s">
        <v>33</v>
      </c>
    </row>
    <row r="236" spans="1:14" ht="34" customHeight="1">
      <c r="A236" s="9" t="s">
        <v>1069</v>
      </c>
      <c r="B236" s="9" t="s">
        <v>386</v>
      </c>
      <c r="C236" s="10" t="s">
        <v>860</v>
      </c>
      <c r="D236" s="10" t="s">
        <v>1070</v>
      </c>
      <c r="E236" s="10" t="s">
        <v>1071</v>
      </c>
      <c r="F236" s="11">
        <v>429</v>
      </c>
      <c r="G236" s="11">
        <v>42</v>
      </c>
      <c r="H236" s="11">
        <v>28</v>
      </c>
      <c r="I236" s="11">
        <v>18.100000000000001</v>
      </c>
      <c r="J236" s="11">
        <f t="shared" si="6"/>
        <v>9.79020979020979</v>
      </c>
      <c r="K236" s="10" t="str">
        <f t="shared" si="7"/>
        <v>Lower calorie; High protein density; Low carb; Low fat</v>
      </c>
      <c r="L236" s="10" t="s">
        <v>1072</v>
      </c>
      <c r="M236" s="10" t="s">
        <v>32</v>
      </c>
      <c r="N236" s="10" t="s">
        <v>33</v>
      </c>
    </row>
    <row r="237" spans="1:14" ht="34" customHeight="1">
      <c r="A237" s="9" t="s">
        <v>1073</v>
      </c>
      <c r="B237" s="9" t="s">
        <v>89</v>
      </c>
      <c r="C237" s="10" t="s">
        <v>1074</v>
      </c>
      <c r="D237" s="10" t="s">
        <v>1075</v>
      </c>
      <c r="E237" s="10" t="s">
        <v>1076</v>
      </c>
      <c r="F237" s="11">
        <v>550</v>
      </c>
      <c r="G237" s="11">
        <v>54</v>
      </c>
      <c r="H237" s="11">
        <v>44</v>
      </c>
      <c r="I237" s="11">
        <v>18</v>
      </c>
      <c r="J237" s="11">
        <f t="shared" si="6"/>
        <v>9.8181818181818183</v>
      </c>
      <c r="K237" s="10" t="str">
        <f t="shared" si="7"/>
        <v>Lower calorie; High protein density; Moderate carb; Low fat</v>
      </c>
      <c r="L237" s="10" t="s">
        <v>1077</v>
      </c>
      <c r="M237" s="10" t="s">
        <v>32</v>
      </c>
      <c r="N237" s="10" t="s">
        <v>33</v>
      </c>
    </row>
    <row r="238" spans="1:14" ht="34" customHeight="1">
      <c r="A238" s="9" t="s">
        <v>1078</v>
      </c>
      <c r="B238" s="9" t="s">
        <v>131</v>
      </c>
      <c r="C238" s="10" t="s">
        <v>318</v>
      </c>
      <c r="D238" s="10" t="s">
        <v>1079</v>
      </c>
      <c r="E238" s="10" t="s">
        <v>1080</v>
      </c>
      <c r="F238" s="11">
        <v>540</v>
      </c>
      <c r="G238" s="11">
        <v>49</v>
      </c>
      <c r="H238" s="11">
        <v>34</v>
      </c>
      <c r="I238" s="11">
        <v>23.1</v>
      </c>
      <c r="J238" s="11">
        <f t="shared" si="6"/>
        <v>9.0740740740740744</v>
      </c>
      <c r="K238" s="10" t="str">
        <f t="shared" si="7"/>
        <v>Lower calorie; High protein density; Moderate carb; Moderate fat</v>
      </c>
      <c r="L238" s="10" t="s">
        <v>1081</v>
      </c>
      <c r="M238" s="10" t="s">
        <v>32</v>
      </c>
      <c r="N238" s="10" t="s">
        <v>33</v>
      </c>
    </row>
    <row r="239" spans="1:14" ht="34" customHeight="1">
      <c r="A239" s="9" t="s">
        <v>1082</v>
      </c>
      <c r="B239" s="9" t="s">
        <v>95</v>
      </c>
      <c r="C239" s="10" t="s">
        <v>256</v>
      </c>
      <c r="D239" s="10" t="s">
        <v>1083</v>
      </c>
      <c r="E239" s="10" t="s">
        <v>1084</v>
      </c>
      <c r="F239" s="11">
        <v>600</v>
      </c>
      <c r="G239" s="11">
        <v>24</v>
      </c>
      <c r="H239" s="11">
        <v>81</v>
      </c>
      <c r="I239" s="11">
        <v>20</v>
      </c>
      <c r="J239" s="11">
        <f t="shared" si="6"/>
        <v>4</v>
      </c>
      <c r="K239" s="10" t="str">
        <f t="shared" si="7"/>
        <v>Lower calorie; Moderate protein density; High carb; Low fat</v>
      </c>
      <c r="L239" s="10" t="s">
        <v>1085</v>
      </c>
      <c r="M239" s="10" t="s">
        <v>32</v>
      </c>
      <c r="N239" s="10" t="s">
        <v>33</v>
      </c>
    </row>
    <row r="240" spans="1:14" ht="34" customHeight="1">
      <c r="A240" s="9" t="s">
        <v>1086</v>
      </c>
      <c r="B240" s="9" t="s">
        <v>131</v>
      </c>
      <c r="C240" s="10" t="s">
        <v>120</v>
      </c>
      <c r="D240" s="10" t="s">
        <v>1087</v>
      </c>
      <c r="E240" s="10" t="s">
        <v>1088</v>
      </c>
      <c r="F240" s="11">
        <v>666</v>
      </c>
      <c r="G240" s="11">
        <v>45</v>
      </c>
      <c r="H240" s="11">
        <v>53</v>
      </c>
      <c r="I240" s="11">
        <v>29</v>
      </c>
      <c r="J240" s="11">
        <f t="shared" si="6"/>
        <v>6.756756756756757</v>
      </c>
      <c r="K240" s="10" t="str">
        <f t="shared" si="7"/>
        <v>Moderate calorie; High protein density; Moderate carb; Moderate fat</v>
      </c>
      <c r="L240" s="10" t="s">
        <v>1089</v>
      </c>
      <c r="M240" s="10" t="s">
        <v>32</v>
      </c>
      <c r="N240" s="10" t="s">
        <v>33</v>
      </c>
    </row>
    <row r="241" spans="1:14" ht="34" customHeight="1">
      <c r="A241" s="9" t="s">
        <v>1090</v>
      </c>
      <c r="B241" s="9" t="s">
        <v>367</v>
      </c>
      <c r="C241" s="10" t="s">
        <v>1091</v>
      </c>
      <c r="D241" s="10" t="s">
        <v>1092</v>
      </c>
      <c r="E241" s="10" t="s">
        <v>1093</v>
      </c>
      <c r="F241" s="11">
        <v>570</v>
      </c>
      <c r="G241" s="11">
        <v>20</v>
      </c>
      <c r="H241" s="11">
        <v>74</v>
      </c>
      <c r="I241" s="11">
        <v>26</v>
      </c>
      <c r="J241" s="11">
        <f t="shared" si="6"/>
        <v>3.5087719298245612</v>
      </c>
      <c r="K241" s="10" t="str">
        <f t="shared" si="7"/>
        <v>Lower calorie; Moderate protein density; High carb; Moderate fat</v>
      </c>
      <c r="L241" s="10" t="s">
        <v>1094</v>
      </c>
      <c r="M241" s="10" t="s">
        <v>32</v>
      </c>
      <c r="N241" s="10" t="s">
        <v>33</v>
      </c>
    </row>
    <row r="242" spans="1:14" ht="34" customHeight="1">
      <c r="A242" s="9" t="s">
        <v>1095</v>
      </c>
      <c r="B242" s="9" t="s">
        <v>605</v>
      </c>
      <c r="C242" s="10" t="s">
        <v>120</v>
      </c>
      <c r="D242" s="10" t="s">
        <v>1096</v>
      </c>
      <c r="E242" s="10" t="s">
        <v>1097</v>
      </c>
      <c r="F242" s="11">
        <v>960</v>
      </c>
      <c r="G242" s="11">
        <v>38</v>
      </c>
      <c r="H242" s="11">
        <v>131</v>
      </c>
      <c r="I242" s="11">
        <v>30</v>
      </c>
      <c r="J242" s="11">
        <f t="shared" si="6"/>
        <v>3.958333333333333</v>
      </c>
      <c r="K242" s="10" t="str">
        <f t="shared" si="7"/>
        <v>Higher calorie; Moderate protein density; High carb; Moderate fat</v>
      </c>
      <c r="L242" s="10" t="s">
        <v>147</v>
      </c>
      <c r="M242" s="10" t="s">
        <v>32</v>
      </c>
      <c r="N242" s="10" t="s">
        <v>33</v>
      </c>
    </row>
    <row r="243" spans="1:14" ht="34" customHeight="1">
      <c r="A243" s="9" t="s">
        <v>1098</v>
      </c>
      <c r="B243" s="9" t="s">
        <v>131</v>
      </c>
      <c r="C243" s="10" t="s">
        <v>1099</v>
      </c>
      <c r="D243" s="10" t="s">
        <v>1100</v>
      </c>
      <c r="E243" s="10" t="s">
        <v>1101</v>
      </c>
      <c r="F243" s="11">
        <v>551</v>
      </c>
      <c r="G243" s="11">
        <v>46</v>
      </c>
      <c r="H243" s="11">
        <v>28</v>
      </c>
      <c r="I243" s="11">
        <v>28.6</v>
      </c>
      <c r="J243" s="11">
        <f t="shared" si="6"/>
        <v>8.3484573502722323</v>
      </c>
      <c r="K243" s="10" t="str">
        <f t="shared" si="7"/>
        <v>Lower calorie; High protein density; Low carb; Moderate fat</v>
      </c>
      <c r="L243" s="10" t="s">
        <v>1102</v>
      </c>
      <c r="M243" s="10" t="s">
        <v>32</v>
      </c>
      <c r="N243" s="10" t="s">
        <v>33</v>
      </c>
    </row>
    <row r="244" spans="1:14" ht="34" customHeight="1">
      <c r="A244" s="9" t="s">
        <v>1103</v>
      </c>
      <c r="B244" s="9" t="s">
        <v>280</v>
      </c>
      <c r="C244" s="10" t="s">
        <v>191</v>
      </c>
      <c r="D244" s="10" t="s">
        <v>1104</v>
      </c>
      <c r="E244" s="10" t="s">
        <v>1105</v>
      </c>
      <c r="F244" s="11">
        <v>589</v>
      </c>
      <c r="G244" s="11">
        <v>14</v>
      </c>
      <c r="H244" s="11">
        <v>43</v>
      </c>
      <c r="I244" s="11">
        <v>41.1</v>
      </c>
      <c r="J244" s="11">
        <f t="shared" si="6"/>
        <v>2.3769100169779285</v>
      </c>
      <c r="K244" s="10" t="str">
        <f t="shared" si="7"/>
        <v>Lower calorie; Low protein density; Moderate carb; High fat</v>
      </c>
      <c r="L244" s="10" t="s">
        <v>1106</v>
      </c>
      <c r="M244" s="10" t="s">
        <v>32</v>
      </c>
      <c r="N244" s="10" t="s">
        <v>33</v>
      </c>
    </row>
    <row r="245" spans="1:14" ht="34" customHeight="1">
      <c r="A245" s="9" t="s">
        <v>1107</v>
      </c>
      <c r="B245" s="9" t="s">
        <v>35</v>
      </c>
      <c r="C245" s="10" t="s">
        <v>256</v>
      </c>
      <c r="D245" s="10" t="s">
        <v>1108</v>
      </c>
      <c r="E245" s="10" t="s">
        <v>1109</v>
      </c>
      <c r="F245" s="11">
        <v>517</v>
      </c>
      <c r="G245" s="11">
        <v>10</v>
      </c>
      <c r="H245" s="11">
        <v>65</v>
      </c>
      <c r="I245" s="11">
        <v>27.2</v>
      </c>
      <c r="J245" s="11">
        <f t="shared" si="6"/>
        <v>1.9342359767891684</v>
      </c>
      <c r="K245" s="10" t="str">
        <f t="shared" si="7"/>
        <v>Lower calorie; Low protein density; Moderate carb; Moderate fat</v>
      </c>
      <c r="L245" s="10" t="s">
        <v>1110</v>
      </c>
      <c r="M245" s="10" t="s">
        <v>32</v>
      </c>
      <c r="N245" s="10" t="s">
        <v>33</v>
      </c>
    </row>
    <row r="246" spans="1:14" ht="34" customHeight="1">
      <c r="A246" s="9" t="s">
        <v>1111</v>
      </c>
      <c r="B246" s="9" t="s">
        <v>235</v>
      </c>
      <c r="C246" s="10" t="s">
        <v>256</v>
      </c>
      <c r="D246" s="10" t="s">
        <v>1112</v>
      </c>
      <c r="E246" s="10" t="s">
        <v>1113</v>
      </c>
      <c r="F246" s="11">
        <v>600</v>
      </c>
      <c r="G246" s="11">
        <v>15</v>
      </c>
      <c r="H246" s="11">
        <v>74</v>
      </c>
      <c r="I246" s="11">
        <v>26</v>
      </c>
      <c r="J246" s="11">
        <f t="shared" si="6"/>
        <v>2.5</v>
      </c>
      <c r="K246" s="10" t="str">
        <f t="shared" si="7"/>
        <v>Lower calorie; Low protein density; High carb; Moderate fat</v>
      </c>
      <c r="L246" s="10" t="s">
        <v>1114</v>
      </c>
      <c r="M246" s="10" t="s">
        <v>32</v>
      </c>
      <c r="N246" s="10" t="s">
        <v>33</v>
      </c>
    </row>
    <row r="247" spans="1:14" ht="34" customHeight="1">
      <c r="A247" s="9" t="s">
        <v>1115</v>
      </c>
      <c r="B247" s="9" t="s">
        <v>496</v>
      </c>
      <c r="C247" s="10" t="s">
        <v>120</v>
      </c>
      <c r="D247" s="10" t="s">
        <v>1116</v>
      </c>
      <c r="E247" s="10" t="s">
        <v>1117</v>
      </c>
      <c r="F247" s="11">
        <v>610</v>
      </c>
      <c r="G247" s="11">
        <v>38</v>
      </c>
      <c r="H247" s="11">
        <v>42</v>
      </c>
      <c r="I247" s="11">
        <v>31</v>
      </c>
      <c r="J247" s="11">
        <f t="shared" si="6"/>
        <v>6.2295081967213122</v>
      </c>
      <c r="K247" s="10" t="str">
        <f t="shared" si="7"/>
        <v>Moderate calorie; High protein density; Moderate carb; Moderate fat</v>
      </c>
      <c r="L247" s="10" t="s">
        <v>177</v>
      </c>
      <c r="M247" s="10" t="s">
        <v>32</v>
      </c>
      <c r="N247" s="10" t="s">
        <v>33</v>
      </c>
    </row>
    <row r="248" spans="1:14" ht="34" customHeight="1">
      <c r="A248" s="9" t="s">
        <v>1118</v>
      </c>
      <c r="B248" s="9" t="s">
        <v>296</v>
      </c>
      <c r="C248" s="10" t="s">
        <v>738</v>
      </c>
      <c r="D248" s="10" t="s">
        <v>1119</v>
      </c>
      <c r="E248" s="10" t="s">
        <v>1120</v>
      </c>
      <c r="F248" s="11">
        <v>830</v>
      </c>
      <c r="G248" s="11">
        <v>42</v>
      </c>
      <c r="H248" s="11">
        <v>77</v>
      </c>
      <c r="I248" s="11">
        <v>39</v>
      </c>
      <c r="J248" s="11">
        <f t="shared" si="6"/>
        <v>5.0602409638554215</v>
      </c>
      <c r="K248" s="10" t="str">
        <f t="shared" si="7"/>
        <v>Higher calorie; High protein density; High carb; Moderate fat</v>
      </c>
      <c r="L248" s="10" t="s">
        <v>1121</v>
      </c>
      <c r="M248" s="10" t="s">
        <v>32</v>
      </c>
      <c r="N248" s="10" t="s">
        <v>33</v>
      </c>
    </row>
    <row r="249" spans="1:14" ht="34" customHeight="1">
      <c r="A249" s="9" t="s">
        <v>1122</v>
      </c>
      <c r="B249" s="9" t="s">
        <v>35</v>
      </c>
      <c r="C249" s="10" t="s">
        <v>469</v>
      </c>
      <c r="D249" s="10" t="s">
        <v>1123</v>
      </c>
      <c r="E249" s="10" t="s">
        <v>1124</v>
      </c>
      <c r="F249" s="11">
        <v>459</v>
      </c>
      <c r="G249" s="11">
        <v>14</v>
      </c>
      <c r="H249" s="11">
        <v>75</v>
      </c>
      <c r="I249" s="11">
        <v>12.1</v>
      </c>
      <c r="J249" s="11">
        <f t="shared" si="6"/>
        <v>3.0501089324618738</v>
      </c>
      <c r="K249" s="10" t="str">
        <f t="shared" si="7"/>
        <v>Lower calorie; Low protein density; High carb; Low fat</v>
      </c>
      <c r="L249" s="10" t="s">
        <v>1125</v>
      </c>
      <c r="M249" s="10" t="s">
        <v>32</v>
      </c>
      <c r="N249" s="10" t="s">
        <v>33</v>
      </c>
    </row>
    <row r="250" spans="1:14" ht="34" customHeight="1">
      <c r="A250" s="9" t="s">
        <v>1126</v>
      </c>
      <c r="B250" s="9" t="s">
        <v>235</v>
      </c>
      <c r="C250" s="10" t="s">
        <v>1127</v>
      </c>
      <c r="D250" s="10" t="s">
        <v>1128</v>
      </c>
      <c r="E250" s="10" t="s">
        <v>1129</v>
      </c>
      <c r="F250" s="11">
        <v>430</v>
      </c>
      <c r="G250" s="11">
        <v>20</v>
      </c>
      <c r="H250" s="11">
        <v>28</v>
      </c>
      <c r="I250" s="11">
        <v>30</v>
      </c>
      <c r="J250" s="11">
        <f t="shared" si="6"/>
        <v>4.6511627906976747</v>
      </c>
      <c r="K250" s="10" t="str">
        <f t="shared" si="7"/>
        <v>Lower calorie; Moderate protein density; Low carb; Moderate fat</v>
      </c>
      <c r="L250" s="10" t="s">
        <v>1130</v>
      </c>
      <c r="M250" s="10" t="s">
        <v>32</v>
      </c>
      <c r="N250" s="10" t="s">
        <v>33</v>
      </c>
    </row>
    <row r="251" spans="1:14" ht="34" customHeight="1">
      <c r="A251" s="9" t="s">
        <v>1131</v>
      </c>
      <c r="B251" s="9" t="s">
        <v>327</v>
      </c>
      <c r="C251" s="10" t="s">
        <v>120</v>
      </c>
      <c r="D251" s="10" t="s">
        <v>1132</v>
      </c>
      <c r="E251" s="10" t="s">
        <v>1133</v>
      </c>
      <c r="F251" s="11">
        <v>830</v>
      </c>
      <c r="G251" s="11">
        <v>27</v>
      </c>
      <c r="H251" s="11">
        <v>51</v>
      </c>
      <c r="I251" s="11">
        <v>59</v>
      </c>
      <c r="J251" s="11">
        <f t="shared" si="6"/>
        <v>3.2530120481927707</v>
      </c>
      <c r="K251" s="10" t="str">
        <f t="shared" si="7"/>
        <v>Higher calorie; Low protein density; Moderate carb; High fat</v>
      </c>
      <c r="L251" s="10" t="s">
        <v>1134</v>
      </c>
      <c r="M251" s="10" t="s">
        <v>32</v>
      </c>
      <c r="N251" s="10" t="s">
        <v>33</v>
      </c>
    </row>
    <row r="252" spans="1:14" ht="34" customHeight="1">
      <c r="A252" s="9" t="s">
        <v>1135</v>
      </c>
      <c r="B252" s="9" t="s">
        <v>196</v>
      </c>
      <c r="C252" s="10" t="s">
        <v>759</v>
      </c>
      <c r="D252" s="10" t="s">
        <v>1136</v>
      </c>
      <c r="E252" s="10" t="s">
        <v>1137</v>
      </c>
      <c r="F252" s="11">
        <v>714</v>
      </c>
      <c r="G252" s="11">
        <v>19</v>
      </c>
      <c r="H252" s="11">
        <v>65</v>
      </c>
      <c r="I252" s="11">
        <v>41.1</v>
      </c>
      <c r="J252" s="11">
        <f t="shared" si="6"/>
        <v>2.661064425770308</v>
      </c>
      <c r="K252" s="10" t="str">
        <f t="shared" si="7"/>
        <v>Moderate calorie; Low protein density; Moderate carb; High fat</v>
      </c>
      <c r="L252" s="10" t="s">
        <v>1138</v>
      </c>
      <c r="M252" s="10" t="s">
        <v>32</v>
      </c>
      <c r="N252" s="10" t="s">
        <v>33</v>
      </c>
    </row>
    <row r="253" spans="1:14" ht="34" customHeight="1">
      <c r="A253" s="9" t="s">
        <v>1139</v>
      </c>
      <c r="B253" s="9" t="s">
        <v>154</v>
      </c>
      <c r="C253" s="10" t="s">
        <v>425</v>
      </c>
      <c r="D253" s="10" t="s">
        <v>1140</v>
      </c>
      <c r="E253" s="10" t="s">
        <v>1141</v>
      </c>
      <c r="F253" s="11">
        <v>640</v>
      </c>
      <c r="G253" s="11">
        <v>19</v>
      </c>
      <c r="H253" s="11">
        <v>77</v>
      </c>
      <c r="I253" s="11">
        <v>32</v>
      </c>
      <c r="J253" s="11">
        <f t="shared" si="6"/>
        <v>2.96875</v>
      </c>
      <c r="K253" s="10" t="str">
        <f t="shared" si="7"/>
        <v>Moderate calorie; Low protein density; High carb; Moderate fat</v>
      </c>
      <c r="L253" s="10" t="s">
        <v>1142</v>
      </c>
      <c r="M253" s="10" t="s">
        <v>32</v>
      </c>
      <c r="N253" s="10" t="s">
        <v>33</v>
      </c>
    </row>
    <row r="254" spans="1:14" ht="34" customHeight="1">
      <c r="A254" s="9" t="s">
        <v>1143</v>
      </c>
      <c r="B254" s="9" t="s">
        <v>149</v>
      </c>
      <c r="C254" s="10" t="s">
        <v>120</v>
      </c>
      <c r="D254" s="10" t="s">
        <v>1144</v>
      </c>
      <c r="E254" s="10" t="s">
        <v>1145</v>
      </c>
      <c r="F254" s="11">
        <v>1085</v>
      </c>
      <c r="G254" s="11">
        <v>48</v>
      </c>
      <c r="H254" s="11">
        <v>77</v>
      </c>
      <c r="I254" s="11">
        <v>58.9</v>
      </c>
      <c r="J254" s="11">
        <f t="shared" si="6"/>
        <v>4.4239631336405534</v>
      </c>
      <c r="K254" s="10" t="str">
        <f t="shared" si="7"/>
        <v>Higher calorie; Moderate protein density; High carb; High fat</v>
      </c>
      <c r="L254" s="10" t="s">
        <v>1146</v>
      </c>
      <c r="M254" s="10" t="s">
        <v>32</v>
      </c>
      <c r="N254" s="10" t="s">
        <v>33</v>
      </c>
    </row>
    <row r="255" spans="1:14" ht="34" customHeight="1">
      <c r="A255" s="9" t="s">
        <v>1147</v>
      </c>
      <c r="B255" s="9" t="s">
        <v>107</v>
      </c>
      <c r="C255" s="10" t="s">
        <v>625</v>
      </c>
      <c r="D255" s="10" t="s">
        <v>1148</v>
      </c>
      <c r="E255" s="10" t="s">
        <v>1149</v>
      </c>
      <c r="F255" s="11">
        <v>601</v>
      </c>
      <c r="G255" s="11">
        <v>42</v>
      </c>
      <c r="H255" s="11">
        <v>39</v>
      </c>
      <c r="I255" s="11">
        <v>31.1</v>
      </c>
      <c r="J255" s="11">
        <f t="shared" si="6"/>
        <v>6.988352745424292</v>
      </c>
      <c r="K255" s="10" t="str">
        <f t="shared" si="7"/>
        <v>Moderate calorie; High protein density; Moderate carb; Moderate fat</v>
      </c>
      <c r="L255" s="10" t="s">
        <v>309</v>
      </c>
      <c r="M255" s="10" t="s">
        <v>32</v>
      </c>
      <c r="N255" s="10" t="s">
        <v>33</v>
      </c>
    </row>
    <row r="256" spans="1:14" ht="34" customHeight="1">
      <c r="A256" s="9" t="s">
        <v>1150</v>
      </c>
      <c r="B256" s="9" t="s">
        <v>137</v>
      </c>
      <c r="C256" s="10" t="s">
        <v>387</v>
      </c>
      <c r="D256" s="10" t="s">
        <v>1151</v>
      </c>
      <c r="E256" s="10" t="s">
        <v>1152</v>
      </c>
      <c r="F256" s="11">
        <v>470</v>
      </c>
      <c r="G256" s="11">
        <v>30</v>
      </c>
      <c r="H256" s="11">
        <v>24</v>
      </c>
      <c r="I256" s="11">
        <v>29</v>
      </c>
      <c r="J256" s="11">
        <f t="shared" si="6"/>
        <v>6.3829787234042552</v>
      </c>
      <c r="K256" s="10" t="str">
        <f t="shared" si="7"/>
        <v>Lower calorie; High protein density; Low carb; Moderate fat</v>
      </c>
      <c r="L256" s="10" t="s">
        <v>1153</v>
      </c>
      <c r="M256" s="10" t="s">
        <v>32</v>
      </c>
      <c r="N256" s="10" t="s">
        <v>33</v>
      </c>
    </row>
    <row r="257" spans="1:14" ht="34" customHeight="1">
      <c r="A257" s="9" t="s">
        <v>1154</v>
      </c>
      <c r="B257" s="9" t="s">
        <v>41</v>
      </c>
      <c r="C257" s="10" t="s">
        <v>341</v>
      </c>
      <c r="D257" s="10" t="s">
        <v>1155</v>
      </c>
      <c r="E257" s="10" t="s">
        <v>1156</v>
      </c>
      <c r="F257" s="11">
        <v>678</v>
      </c>
      <c r="G257" s="11">
        <v>33</v>
      </c>
      <c r="H257" s="11">
        <v>77</v>
      </c>
      <c r="I257" s="11">
        <v>26.5</v>
      </c>
      <c r="J257" s="11">
        <f t="shared" si="6"/>
        <v>4.8672566371681416</v>
      </c>
      <c r="K257" s="10" t="str">
        <f t="shared" si="7"/>
        <v>Moderate calorie; Moderate protein density; High carb; Moderate fat</v>
      </c>
      <c r="L257" s="10" t="s">
        <v>1157</v>
      </c>
      <c r="M257" s="10" t="s">
        <v>32</v>
      </c>
      <c r="N257" s="10" t="s">
        <v>33</v>
      </c>
    </row>
    <row r="258" spans="1:14" ht="34" customHeight="1">
      <c r="A258" s="9" t="s">
        <v>1158</v>
      </c>
      <c r="B258" s="9" t="s">
        <v>95</v>
      </c>
      <c r="C258" s="10" t="s">
        <v>1159</v>
      </c>
      <c r="D258" s="10" t="s">
        <v>1160</v>
      </c>
      <c r="E258" s="10" t="s">
        <v>1161</v>
      </c>
      <c r="F258" s="11">
        <v>420</v>
      </c>
      <c r="G258" s="11">
        <v>35</v>
      </c>
      <c r="H258" s="11">
        <v>24</v>
      </c>
      <c r="I258" s="11">
        <v>20</v>
      </c>
      <c r="J258" s="11">
        <f t="shared" si="6"/>
        <v>8.3333333333333321</v>
      </c>
      <c r="K258" s="10" t="str">
        <f t="shared" si="7"/>
        <v>Lower calorie; High protein density; Low carb; Low fat</v>
      </c>
      <c r="L258" s="10" t="s">
        <v>1162</v>
      </c>
      <c r="M258" s="10" t="s">
        <v>32</v>
      </c>
      <c r="N258" s="10" t="s">
        <v>33</v>
      </c>
    </row>
    <row r="259" spans="1:14" ht="34" customHeight="1">
      <c r="A259" s="9" t="s">
        <v>1163</v>
      </c>
      <c r="B259" s="9" t="s">
        <v>240</v>
      </c>
      <c r="C259" s="10" t="s">
        <v>262</v>
      </c>
      <c r="D259" s="10" t="s">
        <v>1164</v>
      </c>
      <c r="E259" s="10" t="s">
        <v>1165</v>
      </c>
      <c r="F259" s="11">
        <v>690</v>
      </c>
      <c r="G259" s="11">
        <v>29</v>
      </c>
      <c r="H259" s="11">
        <v>57</v>
      </c>
      <c r="I259" s="11">
        <v>38</v>
      </c>
      <c r="J259" s="11">
        <f t="shared" si="6"/>
        <v>4.2028985507246377</v>
      </c>
      <c r="K259" s="10" t="str">
        <f t="shared" si="7"/>
        <v>Moderate calorie; Moderate protein density; Moderate carb; Moderate fat</v>
      </c>
      <c r="L259" s="10" t="s">
        <v>1166</v>
      </c>
      <c r="M259" s="10" t="s">
        <v>32</v>
      </c>
      <c r="N259" s="10" t="s">
        <v>33</v>
      </c>
    </row>
    <row r="260" spans="1:14" ht="34" customHeight="1">
      <c r="A260" s="9" t="s">
        <v>1167</v>
      </c>
      <c r="B260" s="9" t="s">
        <v>605</v>
      </c>
      <c r="C260" s="10" t="s">
        <v>893</v>
      </c>
      <c r="D260" s="10" t="s">
        <v>1168</v>
      </c>
      <c r="E260" s="10" t="s">
        <v>1169</v>
      </c>
      <c r="F260" s="11">
        <v>590</v>
      </c>
      <c r="G260" s="11">
        <v>35</v>
      </c>
      <c r="H260" s="11">
        <v>72</v>
      </c>
      <c r="I260" s="11">
        <v>17</v>
      </c>
      <c r="J260" s="11">
        <f t="shared" si="6"/>
        <v>5.9322033898305087</v>
      </c>
      <c r="K260" s="10" t="str">
        <f t="shared" si="7"/>
        <v>Lower calorie; High protein density; High carb; Low fat</v>
      </c>
      <c r="L260" s="10" t="s">
        <v>1170</v>
      </c>
      <c r="M260" s="10" t="s">
        <v>32</v>
      </c>
      <c r="N260" s="10" t="s">
        <v>33</v>
      </c>
    </row>
    <row r="261" spans="1:14" ht="34" customHeight="1">
      <c r="A261" s="9" t="s">
        <v>1171</v>
      </c>
      <c r="B261" s="9" t="s">
        <v>77</v>
      </c>
      <c r="C261" s="10" t="s">
        <v>1172</v>
      </c>
      <c r="D261" s="10" t="s">
        <v>1173</v>
      </c>
      <c r="E261" s="10" t="s">
        <v>1174</v>
      </c>
      <c r="F261" s="11">
        <v>565</v>
      </c>
      <c r="G261" s="11">
        <v>42</v>
      </c>
      <c r="H261" s="11">
        <v>38</v>
      </c>
      <c r="I261" s="11">
        <v>28.8</v>
      </c>
      <c r="J261" s="11">
        <f t="shared" si="6"/>
        <v>7.4336283185840708</v>
      </c>
      <c r="K261" s="10" t="str">
        <f t="shared" si="7"/>
        <v>Lower calorie; High protein density; Moderate carb; Moderate fat</v>
      </c>
      <c r="L261" s="10" t="s">
        <v>1175</v>
      </c>
      <c r="M261" s="10" t="s">
        <v>32</v>
      </c>
      <c r="N261" s="10" t="s">
        <v>33</v>
      </c>
    </row>
    <row r="262" spans="1:14" ht="34" customHeight="1">
      <c r="A262" s="9" t="s">
        <v>1176</v>
      </c>
      <c r="B262" s="9" t="s">
        <v>529</v>
      </c>
      <c r="C262" s="10" t="s">
        <v>102</v>
      </c>
      <c r="D262" s="10" t="s">
        <v>1177</v>
      </c>
      <c r="E262" s="10" t="s">
        <v>1178</v>
      </c>
      <c r="F262" s="11">
        <v>880</v>
      </c>
      <c r="G262" s="11">
        <v>42</v>
      </c>
      <c r="H262" s="11">
        <v>70</v>
      </c>
      <c r="I262" s="11">
        <v>46</v>
      </c>
      <c r="J262" s="11">
        <f t="shared" si="6"/>
        <v>4.7727272727272734</v>
      </c>
      <c r="K262" s="10" t="str">
        <f t="shared" si="7"/>
        <v>Higher calorie; Moderate protein density; High carb; High fat</v>
      </c>
      <c r="L262" s="10" t="s">
        <v>1179</v>
      </c>
      <c r="M262" s="10" t="s">
        <v>32</v>
      </c>
      <c r="N262" s="10" t="s">
        <v>33</v>
      </c>
    </row>
    <row r="263" spans="1:14" ht="34" customHeight="1">
      <c r="A263" s="9" t="s">
        <v>1180</v>
      </c>
      <c r="B263" s="9" t="s">
        <v>113</v>
      </c>
      <c r="C263" s="10" t="s">
        <v>1181</v>
      </c>
      <c r="D263" s="10" t="s">
        <v>1182</v>
      </c>
      <c r="E263" s="10" t="s">
        <v>1183</v>
      </c>
      <c r="F263" s="11">
        <v>970</v>
      </c>
      <c r="G263" s="11">
        <v>42</v>
      </c>
      <c r="H263" s="11">
        <v>15</v>
      </c>
      <c r="I263" s="11">
        <v>84</v>
      </c>
      <c r="J263" s="11">
        <f t="shared" si="6"/>
        <v>4.3298969072164946</v>
      </c>
      <c r="K263" s="10" t="str">
        <f t="shared" si="7"/>
        <v>Higher calorie; Moderate protein density; Low carb; High fat</v>
      </c>
      <c r="L263" s="10" t="s">
        <v>1184</v>
      </c>
      <c r="M263" s="10" t="s">
        <v>32</v>
      </c>
      <c r="N263" s="10" t="s">
        <v>33</v>
      </c>
    </row>
    <row r="264" spans="1:14" ht="34" customHeight="1">
      <c r="A264" s="9" t="s">
        <v>1185</v>
      </c>
      <c r="B264" s="9" t="s">
        <v>826</v>
      </c>
      <c r="C264" s="10" t="s">
        <v>120</v>
      </c>
      <c r="D264" s="10" t="s">
        <v>1186</v>
      </c>
      <c r="E264" s="10" t="s">
        <v>1187</v>
      </c>
      <c r="F264" s="11">
        <v>1070</v>
      </c>
      <c r="G264" s="11">
        <v>41</v>
      </c>
      <c r="H264" s="11">
        <v>81</v>
      </c>
      <c r="I264" s="11">
        <v>62</v>
      </c>
      <c r="J264" s="11">
        <f t="shared" ref="J264:J327" si="8">IF(OR(F264="",G264=""),"",G264/F264*100)</f>
        <v>3.8317757009345796</v>
      </c>
      <c r="K264" s="10" t="str">
        <f t="shared" ref="K264:K327" si="9">IF(OR(F264="",G264="",H264="",I264=""),"n.a.",IF(F264&lt;=600,"Lower calorie; ",IF(F264&gt;=800,"Higher calorie; ","Moderate calorie; "))&amp;IF(G264/F264*100&gt;=5,"High protein density; ",IF(G264/F264*100&gt;=3.5,"Moderate protein density; ","Low protein density; "))&amp;IF(H264&lt;=30,"Low carb; ",IF(H264&gt;=70,"High carb; ","Moderate carb; "))&amp;IF(I264&lt;=20,"Low fat",IF(I264&gt;=40,"High fat","Moderate fat")))</f>
        <v>Higher calorie; Moderate protein density; High carb; High fat</v>
      </c>
      <c r="L264" s="10" t="s">
        <v>238</v>
      </c>
      <c r="M264" s="10" t="s">
        <v>32</v>
      </c>
      <c r="N264" s="10" t="s">
        <v>33</v>
      </c>
    </row>
    <row r="265" spans="1:14" ht="34" customHeight="1">
      <c r="A265" s="9" t="s">
        <v>1188</v>
      </c>
      <c r="B265" s="9" t="s">
        <v>726</v>
      </c>
      <c r="C265" s="10" t="s">
        <v>368</v>
      </c>
      <c r="D265" s="10" t="s">
        <v>1189</v>
      </c>
      <c r="E265" s="10" t="s">
        <v>1190</v>
      </c>
      <c r="F265" s="11">
        <v>600</v>
      </c>
      <c r="G265" s="11">
        <v>40</v>
      </c>
      <c r="H265" s="11">
        <v>41</v>
      </c>
      <c r="I265" s="11">
        <v>34</v>
      </c>
      <c r="J265" s="11">
        <f t="shared" si="8"/>
        <v>6.666666666666667</v>
      </c>
      <c r="K265" s="10" t="str">
        <f t="shared" si="9"/>
        <v>Lower calorie; High protein density; Moderate carb; Moderate fat</v>
      </c>
      <c r="L265" s="10" t="s">
        <v>1191</v>
      </c>
      <c r="M265" s="10" t="s">
        <v>32</v>
      </c>
      <c r="N265" s="10" t="s">
        <v>33</v>
      </c>
    </row>
    <row r="266" spans="1:14" ht="34" customHeight="1">
      <c r="A266" s="9" t="s">
        <v>1192</v>
      </c>
      <c r="B266" s="9" t="s">
        <v>826</v>
      </c>
      <c r="C266" s="10" t="s">
        <v>362</v>
      </c>
      <c r="D266" s="10" t="s">
        <v>1193</v>
      </c>
      <c r="E266" s="10" t="s">
        <v>1194</v>
      </c>
      <c r="F266" s="11">
        <v>502</v>
      </c>
      <c r="G266" s="11">
        <v>27</v>
      </c>
      <c r="H266" s="11">
        <v>48</v>
      </c>
      <c r="I266" s="11">
        <v>21.6</v>
      </c>
      <c r="J266" s="11">
        <f t="shared" si="8"/>
        <v>5.3784860557768921</v>
      </c>
      <c r="K266" s="10" t="str">
        <f t="shared" si="9"/>
        <v>Lower calorie; High protein density; Moderate carb; Moderate fat</v>
      </c>
      <c r="L266" s="10" t="s">
        <v>1195</v>
      </c>
      <c r="M266" s="10" t="s">
        <v>32</v>
      </c>
      <c r="N266" s="10" t="s">
        <v>33</v>
      </c>
    </row>
    <row r="267" spans="1:14" ht="34" customHeight="1">
      <c r="A267" s="9" t="s">
        <v>1196</v>
      </c>
      <c r="B267" s="9" t="s">
        <v>162</v>
      </c>
      <c r="C267" s="10" t="s">
        <v>1197</v>
      </c>
      <c r="D267" s="10" t="s">
        <v>1198</v>
      </c>
      <c r="E267" s="10" t="s">
        <v>1199</v>
      </c>
      <c r="F267" s="11">
        <v>890</v>
      </c>
      <c r="G267" s="11">
        <v>47</v>
      </c>
      <c r="H267" s="11">
        <v>34</v>
      </c>
      <c r="I267" s="11">
        <v>63</v>
      </c>
      <c r="J267" s="11">
        <f t="shared" si="8"/>
        <v>5.2808988764044944</v>
      </c>
      <c r="K267" s="10" t="str">
        <f t="shared" si="9"/>
        <v>Higher calorie; High protein density; Moderate carb; High fat</v>
      </c>
      <c r="L267" s="10" t="s">
        <v>1200</v>
      </c>
      <c r="M267" s="10" t="s">
        <v>32</v>
      </c>
      <c r="N267" s="10" t="s">
        <v>33</v>
      </c>
    </row>
    <row r="268" spans="1:14" ht="34" customHeight="1">
      <c r="A268" s="9" t="s">
        <v>1201</v>
      </c>
      <c r="B268" s="9" t="s">
        <v>83</v>
      </c>
      <c r="C268" s="10" t="s">
        <v>1202</v>
      </c>
      <c r="D268" s="10" t="s">
        <v>1203</v>
      </c>
      <c r="E268" s="10" t="s">
        <v>1204</v>
      </c>
      <c r="F268" s="11">
        <v>490</v>
      </c>
      <c r="G268" s="11">
        <v>39</v>
      </c>
      <c r="H268" s="11">
        <v>20</v>
      </c>
      <c r="I268" s="11">
        <v>30</v>
      </c>
      <c r="J268" s="11">
        <f t="shared" si="8"/>
        <v>7.9591836734693873</v>
      </c>
      <c r="K268" s="10" t="str">
        <f t="shared" si="9"/>
        <v>Lower calorie; High protein density; Low carb; Moderate fat</v>
      </c>
      <c r="L268" s="10" t="s">
        <v>1205</v>
      </c>
      <c r="M268" s="10" t="s">
        <v>32</v>
      </c>
      <c r="N268" s="10" t="s">
        <v>33</v>
      </c>
    </row>
    <row r="269" spans="1:14" ht="34" customHeight="1">
      <c r="A269" s="9" t="s">
        <v>1206</v>
      </c>
      <c r="B269" s="9" t="s">
        <v>113</v>
      </c>
      <c r="C269" s="10" t="s">
        <v>138</v>
      </c>
      <c r="D269" s="10" t="s">
        <v>1207</v>
      </c>
      <c r="E269" s="10" t="s">
        <v>1208</v>
      </c>
      <c r="F269" s="11">
        <v>550</v>
      </c>
      <c r="G269" s="11">
        <v>39</v>
      </c>
      <c r="H269" s="11">
        <v>18</v>
      </c>
      <c r="I269" s="11">
        <v>37</v>
      </c>
      <c r="J269" s="11">
        <f t="shared" si="8"/>
        <v>7.0909090909090908</v>
      </c>
      <c r="K269" s="10" t="str">
        <f t="shared" si="9"/>
        <v>Lower calorie; High protein density; Low carb; Moderate fat</v>
      </c>
      <c r="L269" s="10" t="s">
        <v>1209</v>
      </c>
      <c r="M269" s="10" t="s">
        <v>32</v>
      </c>
      <c r="N269" s="10" t="s">
        <v>33</v>
      </c>
    </row>
    <row r="270" spans="1:14" ht="34" customHeight="1">
      <c r="A270" s="9" t="s">
        <v>1210</v>
      </c>
      <c r="B270" s="9" t="s">
        <v>296</v>
      </c>
      <c r="C270" s="10" t="s">
        <v>120</v>
      </c>
      <c r="D270" s="10" t="s">
        <v>1211</v>
      </c>
      <c r="E270" s="10" t="s">
        <v>1212</v>
      </c>
      <c r="F270" s="11">
        <v>780</v>
      </c>
      <c r="G270" s="11">
        <v>21</v>
      </c>
      <c r="H270" s="11">
        <v>48</v>
      </c>
      <c r="I270" s="11">
        <v>54</v>
      </c>
      <c r="J270" s="11">
        <f t="shared" si="8"/>
        <v>2.6923076923076925</v>
      </c>
      <c r="K270" s="10" t="str">
        <f t="shared" si="9"/>
        <v>Moderate calorie; Low protein density; Moderate carb; High fat</v>
      </c>
      <c r="L270" s="10" t="s">
        <v>1213</v>
      </c>
      <c r="M270" s="10" t="s">
        <v>32</v>
      </c>
      <c r="N270" s="10" t="s">
        <v>33</v>
      </c>
    </row>
    <row r="271" spans="1:14" ht="34" customHeight="1">
      <c r="A271" s="9" t="s">
        <v>1214</v>
      </c>
      <c r="B271" s="9" t="s">
        <v>619</v>
      </c>
      <c r="C271" s="10" t="s">
        <v>754</v>
      </c>
      <c r="D271" s="10" t="s">
        <v>1215</v>
      </c>
      <c r="E271" s="10" t="s">
        <v>1216</v>
      </c>
      <c r="F271" s="11">
        <v>810</v>
      </c>
      <c r="G271" s="11">
        <v>37</v>
      </c>
      <c r="H271" s="11">
        <v>30</v>
      </c>
      <c r="I271" s="11">
        <v>60</v>
      </c>
      <c r="J271" s="11">
        <f t="shared" si="8"/>
        <v>4.5679012345679011</v>
      </c>
      <c r="K271" s="10" t="str">
        <f t="shared" si="9"/>
        <v>Higher calorie; Moderate protein density; Low carb; High fat</v>
      </c>
      <c r="L271" s="10" t="s">
        <v>1217</v>
      </c>
      <c r="M271" s="10" t="s">
        <v>32</v>
      </c>
      <c r="N271" s="10" t="s">
        <v>33</v>
      </c>
    </row>
    <row r="272" spans="1:14" ht="34" customHeight="1">
      <c r="A272" s="9" t="s">
        <v>1218</v>
      </c>
      <c r="B272" s="9" t="s">
        <v>619</v>
      </c>
      <c r="C272" s="10" t="s">
        <v>625</v>
      </c>
      <c r="D272" s="10" t="s">
        <v>1219</v>
      </c>
      <c r="E272" s="10" t="s">
        <v>1220</v>
      </c>
      <c r="F272" s="11">
        <v>1000</v>
      </c>
      <c r="G272" s="11">
        <v>62</v>
      </c>
      <c r="H272" s="11">
        <v>62</v>
      </c>
      <c r="I272" s="11">
        <v>55</v>
      </c>
      <c r="J272" s="11">
        <f t="shared" si="8"/>
        <v>6.2</v>
      </c>
      <c r="K272" s="10" t="str">
        <f t="shared" si="9"/>
        <v>Higher calorie; High protein density; Moderate carb; High fat</v>
      </c>
      <c r="L272" s="10" t="s">
        <v>1221</v>
      </c>
      <c r="M272" s="10" t="s">
        <v>32</v>
      </c>
      <c r="N272" s="10" t="s">
        <v>33</v>
      </c>
    </row>
    <row r="273" spans="1:14" ht="34" customHeight="1">
      <c r="A273" s="9" t="s">
        <v>1222</v>
      </c>
      <c r="B273" s="9" t="s">
        <v>65</v>
      </c>
      <c r="C273" s="10" t="s">
        <v>1223</v>
      </c>
      <c r="D273" s="10" t="s">
        <v>1224</v>
      </c>
      <c r="E273" s="10" t="s">
        <v>1225</v>
      </c>
      <c r="F273" s="11">
        <v>610</v>
      </c>
      <c r="G273" s="11">
        <v>41</v>
      </c>
      <c r="H273" s="11">
        <v>49</v>
      </c>
      <c r="I273" s="11">
        <v>29</v>
      </c>
      <c r="J273" s="11">
        <f t="shared" si="8"/>
        <v>6.721311475409836</v>
      </c>
      <c r="K273" s="10" t="str">
        <f t="shared" si="9"/>
        <v>Moderate calorie; High protein density; Moderate carb; Moderate fat</v>
      </c>
      <c r="L273" s="10" t="s">
        <v>1226</v>
      </c>
      <c r="M273" s="10" t="s">
        <v>32</v>
      </c>
      <c r="N273" s="10" t="s">
        <v>33</v>
      </c>
    </row>
    <row r="274" spans="1:14" ht="34" customHeight="1">
      <c r="A274" s="9" t="s">
        <v>1227</v>
      </c>
      <c r="B274" s="9" t="s">
        <v>47</v>
      </c>
      <c r="C274" s="10" t="s">
        <v>1159</v>
      </c>
      <c r="D274" s="10" t="s">
        <v>1228</v>
      </c>
      <c r="E274" s="10" t="s">
        <v>1229</v>
      </c>
      <c r="F274" s="11">
        <v>551</v>
      </c>
      <c r="G274" s="11">
        <v>43</v>
      </c>
      <c r="H274" s="11">
        <v>28</v>
      </c>
      <c r="I274" s="11">
        <v>30.7</v>
      </c>
      <c r="J274" s="11">
        <f t="shared" si="8"/>
        <v>7.8039927404718696</v>
      </c>
      <c r="K274" s="10" t="str">
        <f t="shared" si="9"/>
        <v>Lower calorie; High protein density; Low carb; Moderate fat</v>
      </c>
      <c r="L274" s="10" t="s">
        <v>1230</v>
      </c>
      <c r="M274" s="10" t="s">
        <v>32</v>
      </c>
      <c r="N274" s="10" t="s">
        <v>33</v>
      </c>
    </row>
    <row r="275" spans="1:14" ht="34" customHeight="1">
      <c r="A275" s="9" t="s">
        <v>1231</v>
      </c>
      <c r="B275" s="9" t="s">
        <v>261</v>
      </c>
      <c r="C275" s="10" t="s">
        <v>397</v>
      </c>
      <c r="D275" s="10" t="s">
        <v>1232</v>
      </c>
      <c r="E275" s="10" t="s">
        <v>1233</v>
      </c>
      <c r="F275" s="11">
        <v>730</v>
      </c>
      <c r="G275" s="11">
        <v>35</v>
      </c>
      <c r="H275" s="11">
        <v>69</v>
      </c>
      <c r="I275" s="11">
        <v>31</v>
      </c>
      <c r="J275" s="11">
        <f t="shared" si="8"/>
        <v>4.7945205479452051</v>
      </c>
      <c r="K275" s="10" t="str">
        <f t="shared" si="9"/>
        <v>Moderate calorie; Moderate protein density; Moderate carb; Moderate fat</v>
      </c>
      <c r="L275" s="10" t="s">
        <v>1234</v>
      </c>
      <c r="M275" s="10" t="s">
        <v>32</v>
      </c>
      <c r="N275" s="10" t="s">
        <v>33</v>
      </c>
    </row>
    <row r="276" spans="1:14" ht="34" customHeight="1">
      <c r="A276" s="9" t="s">
        <v>1235</v>
      </c>
      <c r="B276" s="9" t="s">
        <v>77</v>
      </c>
      <c r="C276" s="10" t="s">
        <v>1236</v>
      </c>
      <c r="D276" s="10" t="s">
        <v>1237</v>
      </c>
      <c r="E276" s="10" t="s">
        <v>1238</v>
      </c>
      <c r="F276" s="11">
        <v>455</v>
      </c>
      <c r="G276" s="11">
        <v>28</v>
      </c>
      <c r="H276" s="11">
        <v>36</v>
      </c>
      <c r="I276" s="11">
        <v>23.8</v>
      </c>
      <c r="J276" s="11">
        <f t="shared" si="8"/>
        <v>6.1538461538461542</v>
      </c>
      <c r="K276" s="10" t="str">
        <f t="shared" si="9"/>
        <v>Lower calorie; High protein density; Moderate carb; Moderate fat</v>
      </c>
      <c r="L276" s="10" t="s">
        <v>1239</v>
      </c>
      <c r="M276" s="10" t="s">
        <v>32</v>
      </c>
      <c r="N276" s="10" t="s">
        <v>33</v>
      </c>
    </row>
    <row r="277" spans="1:14" ht="34" customHeight="1">
      <c r="A277" s="9" t="s">
        <v>1240</v>
      </c>
      <c r="B277" s="9" t="s">
        <v>296</v>
      </c>
      <c r="C277" s="10" t="s">
        <v>625</v>
      </c>
      <c r="D277" s="10" t="s">
        <v>1241</v>
      </c>
      <c r="E277" s="10" t="s">
        <v>1242</v>
      </c>
      <c r="F277" s="11">
        <v>800</v>
      </c>
      <c r="G277" s="11">
        <v>45</v>
      </c>
      <c r="H277" s="11">
        <v>42</v>
      </c>
      <c r="I277" s="11">
        <v>54</v>
      </c>
      <c r="J277" s="11">
        <f t="shared" si="8"/>
        <v>5.625</v>
      </c>
      <c r="K277" s="10" t="str">
        <f t="shared" si="9"/>
        <v>Higher calorie; High protein density; Moderate carb; High fat</v>
      </c>
      <c r="L277" s="10" t="s">
        <v>309</v>
      </c>
      <c r="M277" s="10" t="s">
        <v>32</v>
      </c>
      <c r="N277" s="10" t="s">
        <v>33</v>
      </c>
    </row>
    <row r="278" spans="1:14" ht="34" customHeight="1">
      <c r="A278" s="9" t="s">
        <v>1243</v>
      </c>
      <c r="B278" s="9" t="s">
        <v>190</v>
      </c>
      <c r="C278" s="10" t="s">
        <v>483</v>
      </c>
      <c r="D278" s="10" t="s">
        <v>1244</v>
      </c>
      <c r="E278" s="10" t="s">
        <v>1245</v>
      </c>
      <c r="F278" s="11">
        <v>670</v>
      </c>
      <c r="G278" s="11">
        <v>24</v>
      </c>
      <c r="H278" s="11">
        <v>51</v>
      </c>
      <c r="I278" s="11">
        <v>40</v>
      </c>
      <c r="J278" s="11">
        <f t="shared" si="8"/>
        <v>3.5820895522388061</v>
      </c>
      <c r="K278" s="10" t="str">
        <f t="shared" si="9"/>
        <v>Moderate calorie; Moderate protein density; Moderate carb; High fat</v>
      </c>
      <c r="L278" s="10" t="s">
        <v>1246</v>
      </c>
      <c r="M278" s="10" t="s">
        <v>32</v>
      </c>
      <c r="N278" s="10" t="s">
        <v>33</v>
      </c>
    </row>
    <row r="279" spans="1:14" ht="34" customHeight="1">
      <c r="A279" s="9" t="s">
        <v>1247</v>
      </c>
      <c r="B279" s="9" t="s">
        <v>327</v>
      </c>
      <c r="C279" s="10" t="s">
        <v>574</v>
      </c>
      <c r="D279" s="10" t="s">
        <v>1248</v>
      </c>
      <c r="E279" s="10" t="s">
        <v>1249</v>
      </c>
      <c r="F279" s="11">
        <v>410</v>
      </c>
      <c r="G279" s="11">
        <v>11</v>
      </c>
      <c r="H279" s="11">
        <v>33</v>
      </c>
      <c r="I279" s="11">
        <v>28</v>
      </c>
      <c r="J279" s="11">
        <f t="shared" si="8"/>
        <v>2.6829268292682928</v>
      </c>
      <c r="K279" s="10" t="str">
        <f t="shared" si="9"/>
        <v>Lower calorie; Low protein density; Moderate carb; Moderate fat</v>
      </c>
      <c r="L279" s="10" t="s">
        <v>1250</v>
      </c>
      <c r="M279" s="10" t="s">
        <v>32</v>
      </c>
      <c r="N279" s="10" t="s">
        <v>33</v>
      </c>
    </row>
    <row r="280" spans="1:14" ht="34" customHeight="1">
      <c r="A280" s="9" t="s">
        <v>1251</v>
      </c>
      <c r="B280" s="9" t="s">
        <v>386</v>
      </c>
      <c r="C280" s="10" t="s">
        <v>520</v>
      </c>
      <c r="D280" s="10" t="s">
        <v>1252</v>
      </c>
      <c r="E280" s="10" t="s">
        <v>1253</v>
      </c>
      <c r="F280" s="11">
        <v>470</v>
      </c>
      <c r="G280" s="11">
        <v>30</v>
      </c>
      <c r="H280" s="11">
        <v>21</v>
      </c>
      <c r="I280" s="11">
        <v>30</v>
      </c>
      <c r="J280" s="11">
        <f t="shared" si="8"/>
        <v>6.3829787234042552</v>
      </c>
      <c r="K280" s="10" t="str">
        <f t="shared" si="9"/>
        <v>Lower calorie; High protein density; Low carb; Moderate fat</v>
      </c>
      <c r="L280" s="10" t="s">
        <v>1254</v>
      </c>
      <c r="M280" s="10" t="s">
        <v>32</v>
      </c>
      <c r="N280" s="10" t="s">
        <v>33</v>
      </c>
    </row>
    <row r="281" spans="1:14" ht="34" customHeight="1">
      <c r="A281" s="9" t="s">
        <v>1255</v>
      </c>
      <c r="B281" s="9" t="s">
        <v>206</v>
      </c>
      <c r="C281" s="10" t="s">
        <v>625</v>
      </c>
      <c r="D281" s="10" t="s">
        <v>1256</v>
      </c>
      <c r="E281" s="10" t="s">
        <v>1257</v>
      </c>
      <c r="F281" s="11">
        <v>700</v>
      </c>
      <c r="G281" s="11">
        <v>29</v>
      </c>
      <c r="H281" s="11">
        <v>64</v>
      </c>
      <c r="I281" s="11">
        <v>36</v>
      </c>
      <c r="J281" s="11">
        <f t="shared" si="8"/>
        <v>4.1428571428571423</v>
      </c>
      <c r="K281" s="10" t="str">
        <f t="shared" si="9"/>
        <v>Moderate calorie; Moderate protein density; Moderate carb; Moderate fat</v>
      </c>
      <c r="L281" s="10" t="s">
        <v>1258</v>
      </c>
      <c r="M281" s="10" t="s">
        <v>32</v>
      </c>
      <c r="N281" s="10" t="s">
        <v>33</v>
      </c>
    </row>
    <row r="282" spans="1:14" ht="34" customHeight="1">
      <c r="A282" s="9" t="s">
        <v>1259</v>
      </c>
      <c r="B282" s="9" t="s">
        <v>131</v>
      </c>
      <c r="C282" s="10" t="s">
        <v>625</v>
      </c>
      <c r="D282" s="10" t="s">
        <v>1260</v>
      </c>
      <c r="E282" s="10" t="s">
        <v>1261</v>
      </c>
      <c r="F282" s="11">
        <v>670</v>
      </c>
      <c r="G282" s="11">
        <v>29</v>
      </c>
      <c r="H282" s="11">
        <v>76</v>
      </c>
      <c r="I282" s="11">
        <v>27</v>
      </c>
      <c r="J282" s="11">
        <f t="shared" si="8"/>
        <v>4.3283582089552244</v>
      </c>
      <c r="K282" s="10" t="str">
        <f t="shared" si="9"/>
        <v>Moderate calorie; Moderate protein density; High carb; Moderate fat</v>
      </c>
      <c r="L282" s="10" t="s">
        <v>1213</v>
      </c>
      <c r="M282" s="10" t="s">
        <v>32</v>
      </c>
      <c r="N282" s="10" t="s">
        <v>33</v>
      </c>
    </row>
    <row r="283" spans="1:14" ht="34" customHeight="1">
      <c r="A283" s="9" t="s">
        <v>1262</v>
      </c>
      <c r="B283" s="9" t="s">
        <v>107</v>
      </c>
      <c r="C283" s="10" t="s">
        <v>754</v>
      </c>
      <c r="D283" s="10" t="s">
        <v>1263</v>
      </c>
      <c r="E283" s="10" t="s">
        <v>1264</v>
      </c>
      <c r="F283" s="11">
        <v>740</v>
      </c>
      <c r="G283" s="11">
        <v>28</v>
      </c>
      <c r="H283" s="11">
        <v>33</v>
      </c>
      <c r="I283" s="11">
        <v>56</v>
      </c>
      <c r="J283" s="11">
        <f t="shared" si="8"/>
        <v>3.7837837837837842</v>
      </c>
      <c r="K283" s="10" t="str">
        <f t="shared" si="9"/>
        <v>Moderate calorie; Moderate protein density; Moderate carb; High fat</v>
      </c>
      <c r="L283" s="10" t="s">
        <v>1265</v>
      </c>
      <c r="M283" s="10" t="s">
        <v>32</v>
      </c>
      <c r="N283" s="10" t="s">
        <v>33</v>
      </c>
    </row>
    <row r="284" spans="1:14" ht="34" customHeight="1">
      <c r="A284" s="9" t="s">
        <v>1266</v>
      </c>
      <c r="B284" s="9" t="s">
        <v>162</v>
      </c>
      <c r="C284" s="10" t="s">
        <v>625</v>
      </c>
      <c r="D284" s="10" t="s">
        <v>1267</v>
      </c>
      <c r="E284" s="10" t="s">
        <v>1268</v>
      </c>
      <c r="F284" s="11">
        <v>740</v>
      </c>
      <c r="G284" s="11">
        <v>31</v>
      </c>
      <c r="H284" s="11">
        <v>72</v>
      </c>
      <c r="I284" s="11">
        <v>36</v>
      </c>
      <c r="J284" s="11">
        <f t="shared" si="8"/>
        <v>4.1891891891891895</v>
      </c>
      <c r="K284" s="10" t="str">
        <f t="shared" si="9"/>
        <v>Moderate calorie; Moderate protein density; High carb; Moderate fat</v>
      </c>
      <c r="L284" s="10" t="s">
        <v>309</v>
      </c>
      <c r="M284" s="10" t="s">
        <v>32</v>
      </c>
      <c r="N284" s="10" t="s">
        <v>33</v>
      </c>
    </row>
    <row r="285" spans="1:14" ht="34" customHeight="1">
      <c r="A285" s="9" t="s">
        <v>1269</v>
      </c>
      <c r="B285" s="9" t="s">
        <v>386</v>
      </c>
      <c r="C285" s="10" t="s">
        <v>520</v>
      </c>
      <c r="D285" s="10" t="s">
        <v>1270</v>
      </c>
      <c r="E285" s="10" t="s">
        <v>1271</v>
      </c>
      <c r="F285" s="11">
        <v>460</v>
      </c>
      <c r="G285" s="11">
        <v>29</v>
      </c>
      <c r="H285" s="11">
        <v>33</v>
      </c>
      <c r="I285" s="11">
        <v>23</v>
      </c>
      <c r="J285" s="11">
        <f t="shared" si="8"/>
        <v>6.3043478260869561</v>
      </c>
      <c r="K285" s="10" t="str">
        <f t="shared" si="9"/>
        <v>Lower calorie; High protein density; Moderate carb; Moderate fat</v>
      </c>
      <c r="L285" s="10" t="s">
        <v>1272</v>
      </c>
      <c r="M285" s="10" t="s">
        <v>32</v>
      </c>
      <c r="N285" s="10" t="s">
        <v>33</v>
      </c>
    </row>
    <row r="286" spans="1:14" ht="34" customHeight="1">
      <c r="A286" s="9" t="s">
        <v>1273</v>
      </c>
      <c r="B286" s="9" t="s">
        <v>119</v>
      </c>
      <c r="C286" s="10" t="s">
        <v>96</v>
      </c>
      <c r="D286" s="10" t="s">
        <v>1274</v>
      </c>
      <c r="E286" s="10" t="s">
        <v>1275</v>
      </c>
      <c r="F286" s="11">
        <v>910</v>
      </c>
      <c r="G286" s="11">
        <v>19</v>
      </c>
      <c r="H286" s="11">
        <v>77</v>
      </c>
      <c r="I286" s="11">
        <v>58</v>
      </c>
      <c r="J286" s="11">
        <f t="shared" si="8"/>
        <v>2.0879120879120876</v>
      </c>
      <c r="K286" s="10" t="str">
        <f t="shared" si="9"/>
        <v>Higher calorie; Low protein density; High carb; High fat</v>
      </c>
      <c r="L286" s="10" t="s">
        <v>1276</v>
      </c>
      <c r="M286" s="10" t="s">
        <v>32</v>
      </c>
      <c r="N286" s="10" t="s">
        <v>33</v>
      </c>
    </row>
    <row r="287" spans="1:14" ht="34" customHeight="1">
      <c r="A287" s="9" t="s">
        <v>1277</v>
      </c>
      <c r="B287" s="9" t="s">
        <v>630</v>
      </c>
      <c r="C287" s="10" t="s">
        <v>28</v>
      </c>
      <c r="D287" s="10" t="s">
        <v>1278</v>
      </c>
      <c r="E287" s="10" t="s">
        <v>1279</v>
      </c>
      <c r="F287" s="11">
        <v>660</v>
      </c>
      <c r="G287" s="11">
        <v>34</v>
      </c>
      <c r="H287" s="11">
        <v>61</v>
      </c>
      <c r="I287" s="11">
        <v>32</v>
      </c>
      <c r="J287" s="11">
        <f t="shared" si="8"/>
        <v>5.1515151515151514</v>
      </c>
      <c r="K287" s="10" t="str">
        <f t="shared" si="9"/>
        <v>Moderate calorie; High protein density; Moderate carb; Moderate fat</v>
      </c>
      <c r="L287" s="10" t="s">
        <v>1280</v>
      </c>
      <c r="M287" s="10" t="s">
        <v>32</v>
      </c>
      <c r="N287" s="10" t="s">
        <v>33</v>
      </c>
    </row>
    <row r="288" spans="1:14" ht="34" customHeight="1">
      <c r="A288" s="9" t="s">
        <v>1281</v>
      </c>
      <c r="B288" s="9" t="s">
        <v>630</v>
      </c>
      <c r="C288" s="10" t="s">
        <v>262</v>
      </c>
      <c r="D288" s="10" t="s">
        <v>1282</v>
      </c>
      <c r="E288" s="10" t="s">
        <v>1283</v>
      </c>
      <c r="F288" s="11">
        <v>740</v>
      </c>
      <c r="G288" s="11">
        <v>29</v>
      </c>
      <c r="H288" s="11">
        <v>55</v>
      </c>
      <c r="I288" s="11">
        <v>47</v>
      </c>
      <c r="J288" s="11">
        <f t="shared" si="8"/>
        <v>3.9189189189189193</v>
      </c>
      <c r="K288" s="10" t="str">
        <f t="shared" si="9"/>
        <v>Moderate calorie; Moderate protein density; Moderate carb; High fat</v>
      </c>
      <c r="L288" s="10" t="s">
        <v>1284</v>
      </c>
      <c r="M288" s="10" t="s">
        <v>32</v>
      </c>
      <c r="N288" s="10" t="s">
        <v>33</v>
      </c>
    </row>
    <row r="289" spans="1:14" ht="34" customHeight="1">
      <c r="A289" s="9" t="s">
        <v>1285</v>
      </c>
      <c r="B289" s="9" t="s">
        <v>496</v>
      </c>
      <c r="C289" s="10" t="s">
        <v>1099</v>
      </c>
      <c r="D289" s="10" t="s">
        <v>1286</v>
      </c>
      <c r="E289" s="10" t="s">
        <v>1287</v>
      </c>
      <c r="F289" s="11">
        <v>540</v>
      </c>
      <c r="G289" s="11">
        <v>46</v>
      </c>
      <c r="H289" s="11">
        <v>35</v>
      </c>
      <c r="I289" s="11">
        <v>25</v>
      </c>
      <c r="J289" s="11">
        <f t="shared" si="8"/>
        <v>8.518518518518519</v>
      </c>
      <c r="K289" s="10" t="str">
        <f t="shared" si="9"/>
        <v>Lower calorie; High protein density; Moderate carb; Moderate fat</v>
      </c>
      <c r="L289" s="10" t="s">
        <v>1288</v>
      </c>
      <c r="M289" s="10" t="s">
        <v>32</v>
      </c>
      <c r="N289" s="10" t="s">
        <v>33</v>
      </c>
    </row>
    <row r="290" spans="1:14" ht="34" customHeight="1">
      <c r="A290" s="9" t="s">
        <v>1289</v>
      </c>
      <c r="B290" s="9" t="s">
        <v>496</v>
      </c>
      <c r="C290" s="10" t="s">
        <v>1290</v>
      </c>
      <c r="D290" s="10" t="s">
        <v>1291</v>
      </c>
      <c r="E290" s="10" t="s">
        <v>1292</v>
      </c>
      <c r="F290" s="11">
        <v>860</v>
      </c>
      <c r="G290" s="11">
        <v>50</v>
      </c>
      <c r="H290" s="11">
        <v>71</v>
      </c>
      <c r="I290" s="11">
        <v>38</v>
      </c>
      <c r="J290" s="11">
        <f t="shared" si="8"/>
        <v>5.8139534883720927</v>
      </c>
      <c r="K290" s="10" t="str">
        <f t="shared" si="9"/>
        <v>Higher calorie; High protein density; High carb; Moderate fat</v>
      </c>
      <c r="L290" s="10" t="s">
        <v>1293</v>
      </c>
      <c r="M290" s="10" t="s">
        <v>32</v>
      </c>
      <c r="N290" s="10" t="s">
        <v>33</v>
      </c>
    </row>
    <row r="291" spans="1:14" ht="34" customHeight="1">
      <c r="A291" s="9" t="s">
        <v>1294</v>
      </c>
      <c r="B291" s="9" t="s">
        <v>107</v>
      </c>
      <c r="C291" s="10" t="s">
        <v>561</v>
      </c>
      <c r="D291" s="10" t="s">
        <v>1295</v>
      </c>
      <c r="E291" s="10" t="s">
        <v>1296</v>
      </c>
      <c r="F291" s="11">
        <v>800</v>
      </c>
      <c r="G291" s="11">
        <v>50</v>
      </c>
      <c r="H291" s="11">
        <v>31</v>
      </c>
      <c r="I291" s="11">
        <v>53</v>
      </c>
      <c r="J291" s="11">
        <f t="shared" si="8"/>
        <v>6.25</v>
      </c>
      <c r="K291" s="10" t="str">
        <f t="shared" si="9"/>
        <v>Higher calorie; High protein density; Moderate carb; High fat</v>
      </c>
      <c r="L291" s="10" t="s">
        <v>1297</v>
      </c>
      <c r="M291" s="10" t="s">
        <v>32</v>
      </c>
      <c r="N291" s="10" t="s">
        <v>33</v>
      </c>
    </row>
    <row r="292" spans="1:14" ht="34" customHeight="1">
      <c r="A292" s="9" t="s">
        <v>1298</v>
      </c>
      <c r="B292" s="9" t="s">
        <v>367</v>
      </c>
      <c r="C292" s="10" t="s">
        <v>738</v>
      </c>
      <c r="D292" s="10" t="s">
        <v>1299</v>
      </c>
      <c r="E292" s="10" t="s">
        <v>1300</v>
      </c>
      <c r="F292" s="11">
        <v>660</v>
      </c>
      <c r="G292" s="11">
        <v>40</v>
      </c>
      <c r="H292" s="11">
        <v>63</v>
      </c>
      <c r="I292" s="11">
        <v>26</v>
      </c>
      <c r="J292" s="11">
        <f t="shared" si="8"/>
        <v>6.0606060606060606</v>
      </c>
      <c r="K292" s="10" t="str">
        <f t="shared" si="9"/>
        <v>Moderate calorie; High protein density; Moderate carb; Moderate fat</v>
      </c>
      <c r="L292" s="10" t="s">
        <v>1301</v>
      </c>
      <c r="M292" s="10" t="s">
        <v>32</v>
      </c>
      <c r="N292" s="10" t="s">
        <v>33</v>
      </c>
    </row>
    <row r="293" spans="1:14" ht="34" customHeight="1">
      <c r="A293" s="9" t="s">
        <v>1302</v>
      </c>
      <c r="B293" s="9" t="s">
        <v>386</v>
      </c>
      <c r="C293" s="10" t="s">
        <v>1172</v>
      </c>
      <c r="D293" s="10" t="s">
        <v>1303</v>
      </c>
      <c r="E293" s="10" t="s">
        <v>1304</v>
      </c>
      <c r="F293" s="11">
        <v>530</v>
      </c>
      <c r="G293" s="11">
        <v>49</v>
      </c>
      <c r="H293" s="11">
        <v>41</v>
      </c>
      <c r="I293" s="11">
        <v>19</v>
      </c>
      <c r="J293" s="11">
        <f t="shared" si="8"/>
        <v>9.2452830188679247</v>
      </c>
      <c r="K293" s="10" t="str">
        <f t="shared" si="9"/>
        <v>Lower calorie; High protein density; Moderate carb; Low fat</v>
      </c>
      <c r="L293" s="10" t="s">
        <v>1305</v>
      </c>
      <c r="M293" s="10" t="s">
        <v>32</v>
      </c>
      <c r="N293" s="10" t="s">
        <v>33</v>
      </c>
    </row>
    <row r="294" spans="1:14" ht="34" customHeight="1">
      <c r="A294" s="9" t="s">
        <v>1306</v>
      </c>
      <c r="B294" s="9" t="s">
        <v>803</v>
      </c>
      <c r="C294" s="10" t="s">
        <v>144</v>
      </c>
      <c r="D294" s="10" t="s">
        <v>1307</v>
      </c>
      <c r="E294" s="10" t="s">
        <v>1308</v>
      </c>
      <c r="F294" s="11">
        <v>1030</v>
      </c>
      <c r="G294" s="11">
        <v>60</v>
      </c>
      <c r="H294" s="11">
        <v>50</v>
      </c>
      <c r="I294" s="11">
        <v>73</v>
      </c>
      <c r="J294" s="11">
        <f t="shared" si="8"/>
        <v>5.825242718446602</v>
      </c>
      <c r="K294" s="10" t="str">
        <f t="shared" si="9"/>
        <v>Higher calorie; High protein density; Moderate carb; High fat</v>
      </c>
      <c r="L294" s="10" t="s">
        <v>1309</v>
      </c>
      <c r="M294" s="10" t="s">
        <v>32</v>
      </c>
      <c r="N294" s="10" t="s">
        <v>33</v>
      </c>
    </row>
    <row r="295" spans="1:14" ht="34" customHeight="1">
      <c r="A295" s="9" t="s">
        <v>1310</v>
      </c>
      <c r="B295" s="9" t="s">
        <v>53</v>
      </c>
      <c r="C295" s="10" t="s">
        <v>1311</v>
      </c>
      <c r="D295" s="10" t="s">
        <v>1312</v>
      </c>
      <c r="E295" s="10" t="s">
        <v>1313</v>
      </c>
      <c r="F295" s="11">
        <v>410</v>
      </c>
      <c r="G295" s="11">
        <v>38</v>
      </c>
      <c r="H295" s="11">
        <v>41</v>
      </c>
      <c r="I295" s="11">
        <v>14</v>
      </c>
      <c r="J295" s="11">
        <f t="shared" si="8"/>
        <v>9.2682926829268286</v>
      </c>
      <c r="K295" s="10" t="str">
        <f t="shared" si="9"/>
        <v>Lower calorie; High protein density; Moderate carb; Low fat</v>
      </c>
      <c r="L295" s="10" t="s">
        <v>1314</v>
      </c>
      <c r="M295" s="10" t="s">
        <v>32</v>
      </c>
      <c r="N295" s="10" t="s">
        <v>33</v>
      </c>
    </row>
    <row r="296" spans="1:14" ht="34" customHeight="1">
      <c r="A296" s="9" t="s">
        <v>1315</v>
      </c>
      <c r="B296" s="9" t="s">
        <v>340</v>
      </c>
      <c r="C296" s="10" t="s">
        <v>120</v>
      </c>
      <c r="D296" s="10" t="s">
        <v>1316</v>
      </c>
      <c r="E296" s="10" t="s">
        <v>1317</v>
      </c>
      <c r="F296" s="11">
        <v>710</v>
      </c>
      <c r="G296" s="11">
        <v>24</v>
      </c>
      <c r="H296" s="11">
        <v>72</v>
      </c>
      <c r="I296" s="11">
        <v>35</v>
      </c>
      <c r="J296" s="11">
        <f t="shared" si="8"/>
        <v>3.3802816901408446</v>
      </c>
      <c r="K296" s="10" t="str">
        <f t="shared" si="9"/>
        <v>Moderate calorie; Low protein density; High carb; Moderate fat</v>
      </c>
      <c r="L296" s="10" t="s">
        <v>1318</v>
      </c>
      <c r="M296" s="10" t="s">
        <v>32</v>
      </c>
      <c r="N296" s="10" t="s">
        <v>33</v>
      </c>
    </row>
    <row r="297" spans="1:14" ht="34" customHeight="1">
      <c r="A297" s="9" t="s">
        <v>1319</v>
      </c>
      <c r="B297" s="9" t="s">
        <v>131</v>
      </c>
      <c r="C297" s="10" t="s">
        <v>625</v>
      </c>
      <c r="D297" s="10" t="s">
        <v>1320</v>
      </c>
      <c r="E297" s="10" t="s">
        <v>1321</v>
      </c>
      <c r="F297" s="11">
        <v>650</v>
      </c>
      <c r="G297" s="11">
        <v>29</v>
      </c>
      <c r="H297" s="11">
        <v>78</v>
      </c>
      <c r="I297" s="11">
        <v>23</v>
      </c>
      <c r="J297" s="11">
        <f t="shared" si="8"/>
        <v>4.4615384615384617</v>
      </c>
      <c r="K297" s="10" t="str">
        <f t="shared" si="9"/>
        <v>Moderate calorie; Moderate protein density; High carb; Moderate fat</v>
      </c>
      <c r="L297" s="10" t="s">
        <v>1213</v>
      </c>
      <c r="M297" s="10" t="s">
        <v>32</v>
      </c>
      <c r="N297" s="10" t="s">
        <v>33</v>
      </c>
    </row>
    <row r="298" spans="1:14" ht="34" customHeight="1">
      <c r="A298" s="9" t="s">
        <v>1322</v>
      </c>
      <c r="B298" s="9" t="s">
        <v>131</v>
      </c>
      <c r="C298" s="10" t="s">
        <v>362</v>
      </c>
      <c r="D298" s="10" t="s">
        <v>1323</v>
      </c>
      <c r="E298" s="10" t="s">
        <v>1324</v>
      </c>
      <c r="F298" s="11">
        <v>577</v>
      </c>
      <c r="G298" s="11">
        <v>28</v>
      </c>
      <c r="H298" s="11">
        <v>60</v>
      </c>
      <c r="I298" s="11">
        <v>24.7</v>
      </c>
      <c r="J298" s="11">
        <f t="shared" si="8"/>
        <v>4.852686308492201</v>
      </c>
      <c r="K298" s="10" t="str">
        <f t="shared" si="9"/>
        <v>Lower calorie; Moderate protein density; Moderate carb; Moderate fat</v>
      </c>
      <c r="L298" s="10" t="s">
        <v>1325</v>
      </c>
      <c r="M298" s="10" t="s">
        <v>32</v>
      </c>
      <c r="N298" s="10" t="s">
        <v>33</v>
      </c>
    </row>
    <row r="299" spans="1:14" ht="34" customHeight="1">
      <c r="A299" s="9" t="s">
        <v>1326</v>
      </c>
      <c r="B299" s="9" t="s">
        <v>89</v>
      </c>
      <c r="C299" s="10" t="s">
        <v>216</v>
      </c>
      <c r="D299" s="10" t="s">
        <v>1327</v>
      </c>
      <c r="E299" s="10" t="s">
        <v>1328</v>
      </c>
      <c r="F299" s="11">
        <v>760</v>
      </c>
      <c r="G299" s="11">
        <v>30</v>
      </c>
      <c r="H299" s="11">
        <v>57</v>
      </c>
      <c r="I299" s="11">
        <v>46</v>
      </c>
      <c r="J299" s="11">
        <f t="shared" si="8"/>
        <v>3.9473684210526314</v>
      </c>
      <c r="K299" s="10" t="str">
        <f t="shared" si="9"/>
        <v>Moderate calorie; Moderate protein density; Moderate carb; High fat</v>
      </c>
      <c r="L299" s="10" t="s">
        <v>1329</v>
      </c>
      <c r="M299" s="10" t="s">
        <v>32</v>
      </c>
      <c r="N299" s="10" t="s">
        <v>33</v>
      </c>
    </row>
    <row r="300" spans="1:14" ht="34" customHeight="1">
      <c r="A300" s="9" t="s">
        <v>1330</v>
      </c>
      <c r="B300" s="9" t="s">
        <v>27</v>
      </c>
      <c r="C300" s="10" t="s">
        <v>262</v>
      </c>
      <c r="D300" s="10" t="s">
        <v>1331</v>
      </c>
      <c r="E300" s="10" t="s">
        <v>1332</v>
      </c>
      <c r="F300" s="11">
        <v>640</v>
      </c>
      <c r="G300" s="11">
        <v>43</v>
      </c>
      <c r="H300" s="11">
        <v>56</v>
      </c>
      <c r="I300" s="11">
        <v>29</v>
      </c>
      <c r="J300" s="11">
        <f t="shared" si="8"/>
        <v>6.71875</v>
      </c>
      <c r="K300" s="10" t="str">
        <f t="shared" si="9"/>
        <v>Moderate calorie; High protein density; Moderate carb; Moderate fat</v>
      </c>
      <c r="L300" s="10" t="s">
        <v>31</v>
      </c>
      <c r="M300" s="10" t="s">
        <v>32</v>
      </c>
      <c r="N300" s="10" t="s">
        <v>33</v>
      </c>
    </row>
    <row r="301" spans="1:14" ht="34" customHeight="1">
      <c r="A301" s="9" t="s">
        <v>1333</v>
      </c>
      <c r="B301" s="9" t="s">
        <v>415</v>
      </c>
      <c r="C301" s="10" t="s">
        <v>120</v>
      </c>
      <c r="D301" s="10" t="s">
        <v>1334</v>
      </c>
      <c r="E301" s="10" t="s">
        <v>1335</v>
      </c>
      <c r="F301" s="11">
        <v>700</v>
      </c>
      <c r="G301" s="11">
        <v>38</v>
      </c>
      <c r="H301" s="11">
        <v>73</v>
      </c>
      <c r="I301" s="11">
        <v>26</v>
      </c>
      <c r="J301" s="11">
        <f t="shared" si="8"/>
        <v>5.4285714285714288</v>
      </c>
      <c r="K301" s="10" t="str">
        <f t="shared" si="9"/>
        <v>Moderate calorie; High protein density; High carb; Moderate fat</v>
      </c>
      <c r="L301" s="10" t="s">
        <v>1030</v>
      </c>
      <c r="M301" s="10" t="s">
        <v>32</v>
      </c>
      <c r="N301" s="10" t="s">
        <v>33</v>
      </c>
    </row>
    <row r="302" spans="1:14" ht="34" customHeight="1">
      <c r="A302" s="9" t="s">
        <v>1336</v>
      </c>
      <c r="B302" s="9" t="s">
        <v>53</v>
      </c>
      <c r="C302" s="10" t="s">
        <v>191</v>
      </c>
      <c r="D302" s="10" t="s">
        <v>1337</v>
      </c>
      <c r="E302" s="10" t="s">
        <v>1338</v>
      </c>
      <c r="F302" s="11">
        <v>460</v>
      </c>
      <c r="G302" s="11">
        <v>5</v>
      </c>
      <c r="H302" s="11">
        <v>45</v>
      </c>
      <c r="I302" s="11">
        <v>29</v>
      </c>
      <c r="J302" s="11">
        <f t="shared" si="8"/>
        <v>1.0869565217391304</v>
      </c>
      <c r="K302" s="10" t="str">
        <f t="shared" si="9"/>
        <v>Lower calorie; Low protein density; Moderate carb; Moderate fat</v>
      </c>
      <c r="L302" s="10" t="s">
        <v>1339</v>
      </c>
      <c r="M302" s="10" t="s">
        <v>32</v>
      </c>
      <c r="N302" s="10" t="s">
        <v>33</v>
      </c>
    </row>
    <row r="303" spans="1:14" ht="34" customHeight="1">
      <c r="A303" s="9" t="s">
        <v>1340</v>
      </c>
      <c r="B303" s="9" t="s">
        <v>131</v>
      </c>
      <c r="C303" s="10" t="s">
        <v>120</v>
      </c>
      <c r="D303" s="10" t="s">
        <v>1341</v>
      </c>
      <c r="E303" s="10" t="s">
        <v>1342</v>
      </c>
      <c r="F303" s="11">
        <v>774</v>
      </c>
      <c r="G303" s="11">
        <v>52</v>
      </c>
      <c r="H303" s="11">
        <v>82</v>
      </c>
      <c r="I303" s="11">
        <v>24.8</v>
      </c>
      <c r="J303" s="11">
        <f t="shared" si="8"/>
        <v>6.7183462532299743</v>
      </c>
      <c r="K303" s="10" t="str">
        <f t="shared" si="9"/>
        <v>Moderate calorie; High protein density; High carb; Moderate fat</v>
      </c>
      <c r="L303" s="10" t="s">
        <v>1343</v>
      </c>
      <c r="M303" s="10" t="s">
        <v>32</v>
      </c>
      <c r="N303" s="10" t="s">
        <v>33</v>
      </c>
    </row>
    <row r="304" spans="1:14" ht="34" customHeight="1">
      <c r="A304" s="9" t="s">
        <v>1344</v>
      </c>
      <c r="B304" s="9" t="s">
        <v>386</v>
      </c>
      <c r="C304" s="10" t="s">
        <v>144</v>
      </c>
      <c r="D304" s="10" t="s">
        <v>1345</v>
      </c>
      <c r="E304" s="10" t="s">
        <v>1346</v>
      </c>
      <c r="F304" s="11">
        <v>1090</v>
      </c>
      <c r="G304" s="11">
        <v>55</v>
      </c>
      <c r="H304" s="11">
        <v>70</v>
      </c>
      <c r="I304" s="11">
        <v>64</v>
      </c>
      <c r="J304" s="11">
        <f t="shared" si="8"/>
        <v>5.0458715596330279</v>
      </c>
      <c r="K304" s="10" t="str">
        <f t="shared" si="9"/>
        <v>Higher calorie; High protein density; High carb; High fat</v>
      </c>
      <c r="L304" s="10" t="s">
        <v>1347</v>
      </c>
      <c r="M304" s="10" t="s">
        <v>32</v>
      </c>
      <c r="N304" s="10" t="s">
        <v>33</v>
      </c>
    </row>
    <row r="305" spans="1:14" ht="34" customHeight="1">
      <c r="A305" s="9" t="s">
        <v>1348</v>
      </c>
      <c r="B305" s="9" t="s">
        <v>515</v>
      </c>
      <c r="C305" s="10" t="s">
        <v>738</v>
      </c>
      <c r="D305" s="10" t="s">
        <v>1349</v>
      </c>
      <c r="E305" s="10" t="s">
        <v>1350</v>
      </c>
      <c r="F305" s="11">
        <v>960</v>
      </c>
      <c r="G305" s="11">
        <v>34</v>
      </c>
      <c r="H305" s="11">
        <v>82</v>
      </c>
      <c r="I305" s="11">
        <v>56</v>
      </c>
      <c r="J305" s="11">
        <f t="shared" si="8"/>
        <v>3.5416666666666665</v>
      </c>
      <c r="K305" s="10" t="str">
        <f t="shared" si="9"/>
        <v>Higher calorie; Moderate protein density; High carb; High fat</v>
      </c>
      <c r="L305" s="10" t="s">
        <v>1351</v>
      </c>
      <c r="M305" s="10" t="s">
        <v>32</v>
      </c>
      <c r="N305" s="10" t="s">
        <v>33</v>
      </c>
    </row>
    <row r="306" spans="1:14" ht="34" customHeight="1">
      <c r="A306" s="9" t="s">
        <v>1352</v>
      </c>
      <c r="B306" s="9" t="s">
        <v>27</v>
      </c>
      <c r="C306" s="10" t="s">
        <v>262</v>
      </c>
      <c r="D306" s="10" t="s">
        <v>1353</v>
      </c>
      <c r="E306" s="10" t="s">
        <v>1354</v>
      </c>
      <c r="F306" s="11">
        <v>620</v>
      </c>
      <c r="G306" s="11">
        <v>34</v>
      </c>
      <c r="H306" s="11">
        <v>76</v>
      </c>
      <c r="I306" s="11">
        <v>22</v>
      </c>
      <c r="J306" s="11">
        <f t="shared" si="8"/>
        <v>5.4838709677419359</v>
      </c>
      <c r="K306" s="10" t="str">
        <f t="shared" si="9"/>
        <v>Moderate calorie; High protein density; High carb; Moderate fat</v>
      </c>
      <c r="L306" s="10" t="s">
        <v>1051</v>
      </c>
      <c r="M306" s="10" t="s">
        <v>32</v>
      </c>
      <c r="N306" s="10" t="s">
        <v>33</v>
      </c>
    </row>
    <row r="307" spans="1:14" ht="34" customHeight="1">
      <c r="A307" s="9" t="s">
        <v>1355</v>
      </c>
      <c r="B307" s="9" t="s">
        <v>240</v>
      </c>
      <c r="C307" s="10" t="s">
        <v>42</v>
      </c>
      <c r="D307" s="10" t="s">
        <v>1356</v>
      </c>
      <c r="E307" s="10" t="s">
        <v>1357</v>
      </c>
      <c r="F307" s="11">
        <v>610</v>
      </c>
      <c r="G307" s="11">
        <v>29</v>
      </c>
      <c r="H307" s="11">
        <v>77</v>
      </c>
      <c r="I307" s="11">
        <v>21</v>
      </c>
      <c r="J307" s="11">
        <f t="shared" si="8"/>
        <v>4.7540983606557372</v>
      </c>
      <c r="K307" s="10" t="str">
        <f t="shared" si="9"/>
        <v>Moderate calorie; Moderate protein density; High carb; Moderate fat</v>
      </c>
      <c r="L307" s="10" t="s">
        <v>1358</v>
      </c>
      <c r="M307" s="10" t="s">
        <v>32</v>
      </c>
      <c r="N307" s="10" t="s">
        <v>33</v>
      </c>
    </row>
    <row r="308" spans="1:14" ht="34" customHeight="1">
      <c r="A308" s="9" t="s">
        <v>1359</v>
      </c>
      <c r="B308" s="9" t="s">
        <v>59</v>
      </c>
      <c r="C308" s="10" t="s">
        <v>60</v>
      </c>
      <c r="D308" s="10" t="s">
        <v>1360</v>
      </c>
      <c r="E308" s="10" t="s">
        <v>1361</v>
      </c>
      <c r="F308" s="11">
        <v>850</v>
      </c>
      <c r="G308" s="11">
        <v>49</v>
      </c>
      <c r="H308" s="11">
        <v>66</v>
      </c>
      <c r="I308" s="11">
        <v>44</v>
      </c>
      <c r="J308" s="11">
        <f t="shared" si="8"/>
        <v>5.7647058823529411</v>
      </c>
      <c r="K308" s="10" t="str">
        <f t="shared" si="9"/>
        <v>Higher calorie; High protein density; Moderate carb; High fat</v>
      </c>
      <c r="L308" s="10" t="s">
        <v>400</v>
      </c>
      <c r="M308" s="10" t="s">
        <v>32</v>
      </c>
      <c r="N308" s="10" t="s">
        <v>33</v>
      </c>
    </row>
    <row r="309" spans="1:14" ht="34" customHeight="1">
      <c r="A309" s="9" t="s">
        <v>1362</v>
      </c>
      <c r="B309" s="9" t="s">
        <v>65</v>
      </c>
      <c r="C309" s="10" t="s">
        <v>144</v>
      </c>
      <c r="D309" s="10" t="s">
        <v>1363</v>
      </c>
      <c r="E309" s="10" t="s">
        <v>1364</v>
      </c>
      <c r="F309" s="11">
        <v>720</v>
      </c>
      <c r="G309" s="11">
        <v>46</v>
      </c>
      <c r="H309" s="11">
        <v>58</v>
      </c>
      <c r="I309" s="11">
        <v>38</v>
      </c>
      <c r="J309" s="11">
        <f t="shared" si="8"/>
        <v>6.3888888888888884</v>
      </c>
      <c r="K309" s="10" t="str">
        <f t="shared" si="9"/>
        <v>Moderate calorie; High protein density; Moderate carb; Moderate fat</v>
      </c>
      <c r="L309" s="10" t="s">
        <v>238</v>
      </c>
      <c r="M309" s="10" t="s">
        <v>32</v>
      </c>
      <c r="N309" s="10" t="s">
        <v>33</v>
      </c>
    </row>
    <row r="310" spans="1:14" ht="34" customHeight="1">
      <c r="A310" s="9" t="s">
        <v>1365</v>
      </c>
      <c r="B310" s="9" t="s">
        <v>803</v>
      </c>
      <c r="C310" s="10" t="s">
        <v>120</v>
      </c>
      <c r="D310" s="10" t="s">
        <v>1366</v>
      </c>
      <c r="E310" s="10" t="s">
        <v>1367</v>
      </c>
      <c r="F310" s="11">
        <v>910</v>
      </c>
      <c r="G310" s="11">
        <v>32</v>
      </c>
      <c r="H310" s="11">
        <v>90</v>
      </c>
      <c r="I310" s="11">
        <v>49</v>
      </c>
      <c r="J310" s="11">
        <f t="shared" si="8"/>
        <v>3.5164835164835164</v>
      </c>
      <c r="K310" s="10" t="str">
        <f t="shared" si="9"/>
        <v>Higher calorie; Moderate protein density; High carb; High fat</v>
      </c>
      <c r="L310" s="10" t="s">
        <v>1368</v>
      </c>
      <c r="M310" s="10" t="s">
        <v>32</v>
      </c>
      <c r="N310" s="10" t="s">
        <v>33</v>
      </c>
    </row>
    <row r="311" spans="1:14" ht="34" customHeight="1">
      <c r="A311" s="9" t="s">
        <v>1369</v>
      </c>
      <c r="B311" s="9" t="s">
        <v>350</v>
      </c>
      <c r="C311" s="10" t="s">
        <v>1370</v>
      </c>
      <c r="D311" s="10" t="s">
        <v>1371</v>
      </c>
      <c r="E311" s="10" t="s">
        <v>1372</v>
      </c>
      <c r="F311" s="11">
        <v>500</v>
      </c>
      <c r="G311" s="11">
        <v>32</v>
      </c>
      <c r="H311" s="11">
        <v>59</v>
      </c>
      <c r="I311" s="11">
        <v>15</v>
      </c>
      <c r="J311" s="11">
        <f t="shared" si="8"/>
        <v>6.4</v>
      </c>
      <c r="K311" s="10" t="str">
        <f t="shared" si="9"/>
        <v>Lower calorie; High protein density; Moderate carb; Low fat</v>
      </c>
      <c r="L311" s="10" t="s">
        <v>1373</v>
      </c>
      <c r="M311" s="10" t="s">
        <v>32</v>
      </c>
      <c r="N311" s="10" t="s">
        <v>33</v>
      </c>
    </row>
    <row r="312" spans="1:14" ht="34" customHeight="1">
      <c r="A312" s="9" t="s">
        <v>1374</v>
      </c>
      <c r="B312" s="9" t="s">
        <v>803</v>
      </c>
      <c r="C312" s="10" t="s">
        <v>1375</v>
      </c>
      <c r="D312" s="10" t="s">
        <v>1376</v>
      </c>
      <c r="E312" s="10" t="s">
        <v>1377</v>
      </c>
      <c r="F312" s="11">
        <v>850</v>
      </c>
      <c r="G312" s="11">
        <v>26</v>
      </c>
      <c r="H312" s="11">
        <v>87</v>
      </c>
      <c r="I312" s="11">
        <v>47</v>
      </c>
      <c r="J312" s="11">
        <f t="shared" si="8"/>
        <v>3.0588235294117649</v>
      </c>
      <c r="K312" s="10" t="str">
        <f t="shared" si="9"/>
        <v>Higher calorie; Low protein density; High carb; High fat</v>
      </c>
      <c r="L312" s="10" t="s">
        <v>1378</v>
      </c>
      <c r="M312" s="10" t="s">
        <v>32</v>
      </c>
      <c r="N312" s="10" t="s">
        <v>33</v>
      </c>
    </row>
    <row r="313" spans="1:14" ht="34" customHeight="1">
      <c r="A313" s="9" t="s">
        <v>1379</v>
      </c>
      <c r="B313" s="9" t="s">
        <v>95</v>
      </c>
      <c r="C313" s="10" t="s">
        <v>569</v>
      </c>
      <c r="D313" s="10" t="s">
        <v>1380</v>
      </c>
      <c r="E313" s="10" t="s">
        <v>1381</v>
      </c>
      <c r="F313" s="11">
        <v>700</v>
      </c>
      <c r="G313" s="11">
        <v>23</v>
      </c>
      <c r="H313" s="11">
        <v>96</v>
      </c>
      <c r="I313" s="11">
        <v>24</v>
      </c>
      <c r="J313" s="11">
        <f t="shared" si="8"/>
        <v>3.2857142857142856</v>
      </c>
      <c r="K313" s="10" t="str">
        <f t="shared" si="9"/>
        <v>Moderate calorie; Low protein density; High carb; Moderate fat</v>
      </c>
      <c r="L313" s="10" t="s">
        <v>1382</v>
      </c>
      <c r="M313" s="10" t="s">
        <v>32</v>
      </c>
      <c r="N313" s="10" t="s">
        <v>33</v>
      </c>
    </row>
    <row r="314" spans="1:14" ht="34" customHeight="1">
      <c r="A314" s="9" t="s">
        <v>1383</v>
      </c>
      <c r="B314" s="9" t="s">
        <v>184</v>
      </c>
      <c r="C314" s="10" t="s">
        <v>893</v>
      </c>
      <c r="D314" s="10" t="s">
        <v>1384</v>
      </c>
      <c r="E314" s="10" t="s">
        <v>1385</v>
      </c>
      <c r="F314" s="11">
        <v>560</v>
      </c>
      <c r="G314" s="11">
        <v>27</v>
      </c>
      <c r="H314" s="11">
        <v>40</v>
      </c>
      <c r="I314" s="11">
        <v>35</v>
      </c>
      <c r="J314" s="11">
        <f t="shared" si="8"/>
        <v>4.8214285714285721</v>
      </c>
      <c r="K314" s="10" t="str">
        <f t="shared" si="9"/>
        <v>Lower calorie; Moderate protein density; Moderate carb; Moderate fat</v>
      </c>
      <c r="L314" s="10" t="s">
        <v>1386</v>
      </c>
      <c r="M314" s="10" t="s">
        <v>32</v>
      </c>
      <c r="N314" s="10" t="s">
        <v>33</v>
      </c>
    </row>
    <row r="315" spans="1:14" ht="34" customHeight="1">
      <c r="A315" s="9" t="s">
        <v>1387</v>
      </c>
      <c r="B315" s="9" t="s">
        <v>95</v>
      </c>
      <c r="C315" s="10" t="s">
        <v>483</v>
      </c>
      <c r="D315" s="10" t="s">
        <v>1388</v>
      </c>
      <c r="E315" s="10" t="s">
        <v>1389</v>
      </c>
      <c r="F315" s="11">
        <v>720</v>
      </c>
      <c r="G315" s="11">
        <v>8</v>
      </c>
      <c r="H315" s="11">
        <v>78</v>
      </c>
      <c r="I315" s="11">
        <v>42</v>
      </c>
      <c r="J315" s="11">
        <f t="shared" si="8"/>
        <v>1.1111111111111112</v>
      </c>
      <c r="K315" s="10" t="str">
        <f t="shared" si="9"/>
        <v>Moderate calorie; Low protein density; High carb; High fat</v>
      </c>
      <c r="L315" s="10" t="s">
        <v>1390</v>
      </c>
      <c r="M315" s="10" t="s">
        <v>32</v>
      </c>
      <c r="N315" s="10" t="s">
        <v>33</v>
      </c>
    </row>
    <row r="316" spans="1:14" ht="34" customHeight="1">
      <c r="A316" s="9" t="s">
        <v>1391</v>
      </c>
      <c r="B316" s="9" t="s">
        <v>131</v>
      </c>
      <c r="C316" s="10" t="s">
        <v>1392</v>
      </c>
      <c r="D316" s="10" t="s">
        <v>1393</v>
      </c>
      <c r="E316" s="10" t="s">
        <v>1394</v>
      </c>
      <c r="F316" s="11">
        <v>668</v>
      </c>
      <c r="G316" s="11">
        <v>16</v>
      </c>
      <c r="H316" s="11">
        <v>93</v>
      </c>
      <c r="I316" s="11">
        <v>26.8</v>
      </c>
      <c r="J316" s="11">
        <f t="shared" si="8"/>
        <v>2.3952095808383236</v>
      </c>
      <c r="K316" s="10" t="str">
        <f t="shared" si="9"/>
        <v>Moderate calorie; Low protein density; High carb; Moderate fat</v>
      </c>
      <c r="L316" s="10" t="s">
        <v>1395</v>
      </c>
      <c r="M316" s="10" t="s">
        <v>32</v>
      </c>
      <c r="N316" s="10" t="s">
        <v>33</v>
      </c>
    </row>
    <row r="317" spans="1:14" ht="34" customHeight="1">
      <c r="A317" s="9" t="s">
        <v>1396</v>
      </c>
      <c r="B317" s="9" t="s">
        <v>350</v>
      </c>
      <c r="C317" s="10" t="s">
        <v>483</v>
      </c>
      <c r="D317" s="10" t="s">
        <v>1397</v>
      </c>
      <c r="E317" s="10" t="s">
        <v>1398</v>
      </c>
      <c r="F317" s="11">
        <v>615</v>
      </c>
      <c r="G317" s="11">
        <v>16</v>
      </c>
      <c r="H317" s="11">
        <v>94</v>
      </c>
      <c r="I317" s="11">
        <v>23.3</v>
      </c>
      <c r="J317" s="11">
        <f t="shared" si="8"/>
        <v>2.6016260162601625</v>
      </c>
      <c r="K317" s="10" t="str">
        <f t="shared" si="9"/>
        <v>Moderate calorie; Low protein density; High carb; Moderate fat</v>
      </c>
      <c r="L317" s="10" t="s">
        <v>1390</v>
      </c>
      <c r="M317" s="10" t="s">
        <v>32</v>
      </c>
      <c r="N317" s="10" t="s">
        <v>33</v>
      </c>
    </row>
    <row r="318" spans="1:14" ht="34" customHeight="1">
      <c r="A318" s="9" t="s">
        <v>1399</v>
      </c>
      <c r="B318" s="9" t="s">
        <v>113</v>
      </c>
      <c r="C318" s="10" t="s">
        <v>256</v>
      </c>
      <c r="D318" s="10" t="s">
        <v>1400</v>
      </c>
      <c r="E318" s="10" t="s">
        <v>1401</v>
      </c>
      <c r="F318" s="11">
        <v>540</v>
      </c>
      <c r="G318" s="11">
        <v>26</v>
      </c>
      <c r="H318" s="11">
        <v>47</v>
      </c>
      <c r="I318" s="11">
        <v>30</v>
      </c>
      <c r="J318" s="11">
        <f t="shared" si="8"/>
        <v>4.8148148148148149</v>
      </c>
      <c r="K318" s="10" t="str">
        <f t="shared" si="9"/>
        <v>Lower calorie; Moderate protein density; Moderate carb; Moderate fat</v>
      </c>
      <c r="L318" s="10" t="s">
        <v>1402</v>
      </c>
      <c r="M318" s="10" t="s">
        <v>32</v>
      </c>
      <c r="N318" s="10" t="s">
        <v>33</v>
      </c>
    </row>
    <row r="319" spans="1:14" ht="34" customHeight="1">
      <c r="A319" s="9" t="s">
        <v>1403</v>
      </c>
      <c r="B319" s="9" t="s">
        <v>350</v>
      </c>
      <c r="C319" s="10" t="s">
        <v>179</v>
      </c>
      <c r="D319" s="10" t="s">
        <v>1404</v>
      </c>
      <c r="E319" s="10" t="s">
        <v>1405</v>
      </c>
      <c r="F319" s="11">
        <v>590</v>
      </c>
      <c r="G319" s="11">
        <v>21</v>
      </c>
      <c r="H319" s="11">
        <v>68</v>
      </c>
      <c r="I319" s="11">
        <v>28</v>
      </c>
      <c r="J319" s="11">
        <f t="shared" si="8"/>
        <v>3.5593220338983054</v>
      </c>
      <c r="K319" s="10" t="str">
        <f t="shared" si="9"/>
        <v>Lower calorie; Moderate protein density; Moderate carb; Moderate fat</v>
      </c>
      <c r="L319" s="10" t="s">
        <v>1406</v>
      </c>
      <c r="M319" s="10" t="s">
        <v>32</v>
      </c>
      <c r="N319" s="10" t="s">
        <v>33</v>
      </c>
    </row>
    <row r="320" spans="1:14" ht="34" customHeight="1">
      <c r="A320" s="9" t="s">
        <v>1407</v>
      </c>
      <c r="B320" s="9" t="s">
        <v>89</v>
      </c>
      <c r="C320" s="10" t="s">
        <v>96</v>
      </c>
      <c r="D320" s="10" t="s">
        <v>1408</v>
      </c>
      <c r="E320" s="10" t="s">
        <v>1409</v>
      </c>
      <c r="F320" s="11">
        <v>1010</v>
      </c>
      <c r="G320" s="11">
        <v>30</v>
      </c>
      <c r="H320" s="11">
        <v>72</v>
      </c>
      <c r="I320" s="11">
        <v>66</v>
      </c>
      <c r="J320" s="11">
        <f t="shared" si="8"/>
        <v>2.9702970297029703</v>
      </c>
      <c r="K320" s="10" t="str">
        <f t="shared" si="9"/>
        <v>Higher calorie; Low protein density; High carb; High fat</v>
      </c>
      <c r="L320" s="10" t="s">
        <v>1410</v>
      </c>
      <c r="M320" s="10" t="s">
        <v>32</v>
      </c>
      <c r="N320" s="10" t="s">
        <v>33</v>
      </c>
    </row>
    <row r="321" spans="1:14" ht="34" customHeight="1">
      <c r="A321" s="9" t="s">
        <v>1411</v>
      </c>
      <c r="B321" s="9" t="s">
        <v>35</v>
      </c>
      <c r="C321" s="10" t="s">
        <v>1412</v>
      </c>
      <c r="D321" s="10" t="s">
        <v>1413</v>
      </c>
      <c r="E321" s="10" t="s">
        <v>1414</v>
      </c>
      <c r="F321" s="11">
        <v>500</v>
      </c>
      <c r="G321" s="11">
        <v>21</v>
      </c>
      <c r="H321" s="11">
        <v>51</v>
      </c>
      <c r="I321" s="11">
        <v>24</v>
      </c>
      <c r="J321" s="11">
        <f t="shared" si="8"/>
        <v>4.2</v>
      </c>
      <c r="K321" s="10" t="str">
        <f t="shared" si="9"/>
        <v>Lower calorie; Moderate protein density; Moderate carb; Moderate fat</v>
      </c>
      <c r="L321" s="10" t="s">
        <v>1415</v>
      </c>
      <c r="M321" s="10" t="s">
        <v>32</v>
      </c>
      <c r="N321" s="10" t="s">
        <v>33</v>
      </c>
    </row>
    <row r="322" spans="1:14" ht="34" customHeight="1">
      <c r="A322" s="9" t="s">
        <v>1416</v>
      </c>
      <c r="B322" s="9" t="s">
        <v>327</v>
      </c>
      <c r="C322" s="10" t="s">
        <v>1417</v>
      </c>
      <c r="D322" s="10" t="s">
        <v>1418</v>
      </c>
      <c r="E322" s="10" t="s">
        <v>1419</v>
      </c>
      <c r="F322" s="11">
        <v>500</v>
      </c>
      <c r="G322" s="11">
        <v>41</v>
      </c>
      <c r="H322" s="11">
        <v>18</v>
      </c>
      <c r="I322" s="11">
        <v>26</v>
      </c>
      <c r="J322" s="11">
        <f t="shared" si="8"/>
        <v>8.2000000000000011</v>
      </c>
      <c r="K322" s="10" t="str">
        <f t="shared" si="9"/>
        <v>Lower calorie; High protein density; Low carb; Moderate fat</v>
      </c>
      <c r="L322" s="10" t="s">
        <v>1420</v>
      </c>
      <c r="M322" s="10" t="s">
        <v>32</v>
      </c>
      <c r="N322" s="10" t="s">
        <v>33</v>
      </c>
    </row>
    <row r="323" spans="1:14" ht="34" customHeight="1">
      <c r="A323" s="9" t="s">
        <v>1421</v>
      </c>
      <c r="B323" s="9" t="s">
        <v>280</v>
      </c>
      <c r="C323" s="10" t="s">
        <v>1422</v>
      </c>
      <c r="D323" s="10" t="s">
        <v>1423</v>
      </c>
      <c r="E323" s="10" t="s">
        <v>1424</v>
      </c>
      <c r="F323" s="11">
        <v>240</v>
      </c>
      <c r="G323" s="11">
        <v>7</v>
      </c>
      <c r="H323" s="11">
        <v>32</v>
      </c>
      <c r="I323" s="11">
        <v>11</v>
      </c>
      <c r="J323" s="11">
        <f t="shared" si="8"/>
        <v>2.9166666666666665</v>
      </c>
      <c r="K323" s="10" t="str">
        <f t="shared" si="9"/>
        <v>Lower calorie; Low protein density; Moderate carb; Low fat</v>
      </c>
      <c r="L323" s="10" t="s">
        <v>1425</v>
      </c>
      <c r="M323" s="10" t="s">
        <v>32</v>
      </c>
      <c r="N323" s="10" t="s">
        <v>33</v>
      </c>
    </row>
    <row r="324" spans="1:14" ht="34" customHeight="1">
      <c r="A324" s="9" t="s">
        <v>1426</v>
      </c>
      <c r="B324" s="9" t="s">
        <v>137</v>
      </c>
      <c r="C324" s="10" t="s">
        <v>96</v>
      </c>
      <c r="D324" s="10" t="s">
        <v>1427</v>
      </c>
      <c r="E324" s="10" t="s">
        <v>1428</v>
      </c>
      <c r="F324" s="11">
        <v>800</v>
      </c>
      <c r="G324" s="11">
        <v>29</v>
      </c>
      <c r="H324" s="11">
        <v>78</v>
      </c>
      <c r="I324" s="11">
        <v>41</v>
      </c>
      <c r="J324" s="11">
        <f t="shared" si="8"/>
        <v>3.6249999999999996</v>
      </c>
      <c r="K324" s="10" t="str">
        <f t="shared" si="9"/>
        <v>Higher calorie; Moderate protein density; High carb; High fat</v>
      </c>
      <c r="L324" s="10" t="s">
        <v>1429</v>
      </c>
      <c r="M324" s="10" t="s">
        <v>32</v>
      </c>
      <c r="N324" s="10" t="s">
        <v>33</v>
      </c>
    </row>
    <row r="325" spans="1:14" ht="34" customHeight="1">
      <c r="A325" s="9" t="s">
        <v>1430</v>
      </c>
      <c r="B325" s="9" t="s">
        <v>340</v>
      </c>
      <c r="C325" s="10" t="s">
        <v>96</v>
      </c>
      <c r="D325" s="10" t="s">
        <v>1431</v>
      </c>
      <c r="E325" s="10" t="s">
        <v>1432</v>
      </c>
      <c r="F325" s="11">
        <v>860</v>
      </c>
      <c r="G325" s="11">
        <v>22</v>
      </c>
      <c r="H325" s="11">
        <v>68</v>
      </c>
      <c r="I325" s="11">
        <v>59</v>
      </c>
      <c r="J325" s="11">
        <f t="shared" si="8"/>
        <v>2.558139534883721</v>
      </c>
      <c r="K325" s="10" t="str">
        <f t="shared" si="9"/>
        <v>Higher calorie; Low protein density; Moderate carb; High fat</v>
      </c>
      <c r="L325" s="10" t="s">
        <v>1433</v>
      </c>
      <c r="M325" s="10" t="s">
        <v>32</v>
      </c>
      <c r="N325" s="10" t="s">
        <v>33</v>
      </c>
    </row>
    <row r="326" spans="1:14" ht="34" customHeight="1">
      <c r="A326" s="9" t="s">
        <v>1434</v>
      </c>
      <c r="B326" s="9" t="s">
        <v>361</v>
      </c>
      <c r="C326" s="10" t="s">
        <v>625</v>
      </c>
      <c r="D326" s="10" t="s">
        <v>1435</v>
      </c>
      <c r="E326" s="10" t="s">
        <v>1436</v>
      </c>
      <c r="F326" s="11">
        <v>730</v>
      </c>
      <c r="G326" s="11">
        <v>39</v>
      </c>
      <c r="H326" s="11">
        <v>71</v>
      </c>
      <c r="I326" s="11">
        <v>31</v>
      </c>
      <c r="J326" s="11">
        <f t="shared" si="8"/>
        <v>5.3424657534246576</v>
      </c>
      <c r="K326" s="10" t="str">
        <f t="shared" si="9"/>
        <v>Moderate calorie; High protein density; High carb; Moderate fat</v>
      </c>
      <c r="L326" s="10" t="s">
        <v>309</v>
      </c>
      <c r="M326" s="10" t="s">
        <v>32</v>
      </c>
      <c r="N326" s="10" t="s">
        <v>33</v>
      </c>
    </row>
    <row r="327" spans="1:14" ht="34" customHeight="1">
      <c r="A327" s="9" t="s">
        <v>1437</v>
      </c>
      <c r="B327" s="9" t="s">
        <v>206</v>
      </c>
      <c r="C327" s="10" t="s">
        <v>120</v>
      </c>
      <c r="D327" s="10" t="s">
        <v>1438</v>
      </c>
      <c r="E327" s="10" t="s">
        <v>1439</v>
      </c>
      <c r="F327" s="11">
        <v>900</v>
      </c>
      <c r="G327" s="11">
        <v>36</v>
      </c>
      <c r="H327" s="11">
        <v>71</v>
      </c>
      <c r="I327" s="11">
        <v>53</v>
      </c>
      <c r="J327" s="11">
        <f t="shared" si="8"/>
        <v>4</v>
      </c>
      <c r="K327" s="10" t="str">
        <f t="shared" si="9"/>
        <v>Higher calorie; Moderate protein density; High carb; High fat</v>
      </c>
      <c r="L327" s="10" t="s">
        <v>1440</v>
      </c>
      <c r="M327" s="10" t="s">
        <v>32</v>
      </c>
      <c r="N327" s="10" t="s">
        <v>33</v>
      </c>
    </row>
    <row r="328" spans="1:14" ht="34" customHeight="1">
      <c r="A328" s="9" t="s">
        <v>1441</v>
      </c>
      <c r="B328" s="9" t="s">
        <v>35</v>
      </c>
      <c r="C328" s="10" t="s">
        <v>1311</v>
      </c>
      <c r="D328" s="10" t="s">
        <v>1442</v>
      </c>
      <c r="E328" s="10" t="s">
        <v>1443</v>
      </c>
      <c r="F328" s="11">
        <v>560</v>
      </c>
      <c r="G328" s="11">
        <v>33</v>
      </c>
      <c r="H328" s="11">
        <v>48</v>
      </c>
      <c r="I328" s="11">
        <v>27</v>
      </c>
      <c r="J328" s="11">
        <f t="shared" ref="J328:J358" si="10">IF(OR(F328="",G328=""),"",G328/F328*100)</f>
        <v>5.8928571428571423</v>
      </c>
      <c r="K328" s="10" t="str">
        <f t="shared" ref="K328:K358" si="11">IF(OR(F328="",G328="",H328="",I328=""),"n.a.",IF(F328&lt;=600,"Lower calorie; ",IF(F328&gt;=800,"Higher calorie; ","Moderate calorie; "))&amp;IF(G328/F328*100&gt;=5,"High protein density; ",IF(G328/F328*100&gt;=3.5,"Moderate protein density; ","Low protein density; "))&amp;IF(H328&lt;=30,"Low carb; ",IF(H328&gt;=70,"High carb; ","Moderate carb; "))&amp;IF(I328&lt;=20,"Low fat",IF(I328&gt;=40,"High fat","Moderate fat")))</f>
        <v>Lower calorie; High protein density; Moderate carb; Moderate fat</v>
      </c>
      <c r="L328" s="10" t="s">
        <v>1444</v>
      </c>
      <c r="M328" s="10" t="s">
        <v>32</v>
      </c>
      <c r="N328" s="10" t="s">
        <v>33</v>
      </c>
    </row>
    <row r="329" spans="1:14" ht="34" customHeight="1">
      <c r="A329" s="9" t="s">
        <v>1445</v>
      </c>
      <c r="B329" s="9" t="s">
        <v>83</v>
      </c>
      <c r="C329" s="10" t="s">
        <v>297</v>
      </c>
      <c r="D329" s="10" t="s">
        <v>1446</v>
      </c>
      <c r="E329" s="10" t="s">
        <v>1447</v>
      </c>
      <c r="F329" s="11">
        <v>552</v>
      </c>
      <c r="G329" s="11">
        <v>49</v>
      </c>
      <c r="H329" s="11">
        <v>42</v>
      </c>
      <c r="I329" s="11">
        <v>21.8</v>
      </c>
      <c r="J329" s="11">
        <f t="shared" si="10"/>
        <v>8.8768115942028984</v>
      </c>
      <c r="K329" s="10" t="str">
        <f t="shared" si="11"/>
        <v>Lower calorie; High protein density; Moderate carb; Moderate fat</v>
      </c>
      <c r="L329" s="10" t="s">
        <v>1448</v>
      </c>
      <c r="M329" s="10" t="s">
        <v>32</v>
      </c>
      <c r="N329" s="10" t="s">
        <v>33</v>
      </c>
    </row>
    <row r="330" spans="1:14" ht="34" customHeight="1">
      <c r="A330" s="9" t="s">
        <v>1449</v>
      </c>
      <c r="B330" s="9" t="s">
        <v>113</v>
      </c>
      <c r="C330" s="10" t="s">
        <v>191</v>
      </c>
      <c r="D330" s="10" t="s">
        <v>1450</v>
      </c>
      <c r="E330" s="10" t="s">
        <v>1451</v>
      </c>
      <c r="F330" s="11">
        <v>540</v>
      </c>
      <c r="G330" s="11">
        <v>9</v>
      </c>
      <c r="H330" s="11">
        <v>79</v>
      </c>
      <c r="I330" s="11">
        <v>23</v>
      </c>
      <c r="J330" s="11">
        <f t="shared" si="10"/>
        <v>1.6666666666666667</v>
      </c>
      <c r="K330" s="10" t="str">
        <f t="shared" si="11"/>
        <v>Lower calorie; Low protein density; High carb; Moderate fat</v>
      </c>
      <c r="L330" s="10" t="s">
        <v>1452</v>
      </c>
      <c r="M330" s="10" t="s">
        <v>32</v>
      </c>
      <c r="N330" s="10" t="s">
        <v>33</v>
      </c>
    </row>
    <row r="331" spans="1:14" ht="34" customHeight="1">
      <c r="A331" s="9" t="s">
        <v>1453</v>
      </c>
      <c r="B331" s="9" t="s">
        <v>296</v>
      </c>
      <c r="C331" s="10" t="s">
        <v>262</v>
      </c>
      <c r="D331" s="10" t="s">
        <v>1454</v>
      </c>
      <c r="E331" s="10" t="s">
        <v>1455</v>
      </c>
      <c r="F331" s="11">
        <v>730</v>
      </c>
      <c r="G331" s="11">
        <v>28</v>
      </c>
      <c r="H331" s="11">
        <v>75</v>
      </c>
      <c r="I331" s="11">
        <v>37</v>
      </c>
      <c r="J331" s="11">
        <f t="shared" si="10"/>
        <v>3.8356164383561646</v>
      </c>
      <c r="K331" s="10" t="str">
        <f t="shared" si="11"/>
        <v>Moderate calorie; Moderate protein density; High carb; Moderate fat</v>
      </c>
      <c r="L331" s="10" t="s">
        <v>1456</v>
      </c>
      <c r="M331" s="10" t="s">
        <v>32</v>
      </c>
      <c r="N331" s="10" t="s">
        <v>33</v>
      </c>
    </row>
    <row r="332" spans="1:14" ht="34" customHeight="1">
      <c r="A332" s="9" t="s">
        <v>1457</v>
      </c>
      <c r="B332" s="9" t="s">
        <v>47</v>
      </c>
      <c r="C332" s="10" t="s">
        <v>144</v>
      </c>
      <c r="D332" s="10" t="s">
        <v>1458</v>
      </c>
      <c r="E332" s="10" t="s">
        <v>1459</v>
      </c>
      <c r="F332" s="11">
        <v>830</v>
      </c>
      <c r="G332" s="11">
        <v>40</v>
      </c>
      <c r="H332" s="11">
        <v>74</v>
      </c>
      <c r="I332" s="11">
        <v>45</v>
      </c>
      <c r="J332" s="11">
        <f t="shared" si="10"/>
        <v>4.8192771084337354</v>
      </c>
      <c r="K332" s="10" t="str">
        <f t="shared" si="11"/>
        <v>Higher calorie; Moderate protein density; High carb; High fat</v>
      </c>
      <c r="L332" s="10" t="s">
        <v>1460</v>
      </c>
      <c r="M332" s="10" t="s">
        <v>32</v>
      </c>
      <c r="N332" s="10" t="s">
        <v>33</v>
      </c>
    </row>
    <row r="333" spans="1:14" ht="34" customHeight="1">
      <c r="A333" s="9" t="s">
        <v>1461</v>
      </c>
      <c r="B333" s="9" t="s">
        <v>113</v>
      </c>
      <c r="C333" s="10" t="s">
        <v>72</v>
      </c>
      <c r="D333" s="10" t="s">
        <v>1462</v>
      </c>
      <c r="E333" s="10" t="s">
        <v>1463</v>
      </c>
      <c r="F333" s="11">
        <v>750</v>
      </c>
      <c r="G333" s="11">
        <v>25</v>
      </c>
      <c r="H333" s="11">
        <v>64</v>
      </c>
      <c r="I333" s="11">
        <v>43</v>
      </c>
      <c r="J333" s="11">
        <f t="shared" si="10"/>
        <v>3.3333333333333335</v>
      </c>
      <c r="K333" s="10" t="str">
        <f t="shared" si="11"/>
        <v>Moderate calorie; Low protein density; Moderate carb; High fat</v>
      </c>
      <c r="L333" s="10" t="s">
        <v>1464</v>
      </c>
      <c r="M333" s="10" t="s">
        <v>32</v>
      </c>
      <c r="N333" s="10" t="s">
        <v>33</v>
      </c>
    </row>
    <row r="334" spans="1:14" ht="34" customHeight="1">
      <c r="A334" s="9" t="s">
        <v>1465</v>
      </c>
      <c r="B334" s="9" t="s">
        <v>83</v>
      </c>
      <c r="C334" s="10" t="s">
        <v>625</v>
      </c>
      <c r="D334" s="10" t="s">
        <v>1466</v>
      </c>
      <c r="E334" s="10" t="s">
        <v>1467</v>
      </c>
      <c r="F334" s="11">
        <v>1120</v>
      </c>
      <c r="G334" s="11">
        <v>51</v>
      </c>
      <c r="H334" s="11">
        <v>64</v>
      </c>
      <c r="I334" s="11">
        <v>74</v>
      </c>
      <c r="J334" s="11">
        <f t="shared" si="10"/>
        <v>4.5535714285714279</v>
      </c>
      <c r="K334" s="10" t="str">
        <f t="shared" si="11"/>
        <v>Higher calorie; Moderate protein density; Moderate carb; High fat</v>
      </c>
      <c r="L334" s="10" t="s">
        <v>1468</v>
      </c>
      <c r="M334" s="10" t="s">
        <v>32</v>
      </c>
      <c r="N334" s="10" t="s">
        <v>33</v>
      </c>
    </row>
    <row r="335" spans="1:14" ht="34" customHeight="1">
      <c r="A335" s="9" t="s">
        <v>1469</v>
      </c>
      <c r="B335" s="9" t="s">
        <v>47</v>
      </c>
      <c r="C335" s="10" t="s">
        <v>1470</v>
      </c>
      <c r="D335" s="10" t="s">
        <v>1471</v>
      </c>
      <c r="E335" s="10" t="s">
        <v>1472</v>
      </c>
      <c r="F335" s="11">
        <v>542</v>
      </c>
      <c r="G335" s="11">
        <v>25</v>
      </c>
      <c r="H335" s="11">
        <v>60</v>
      </c>
      <c r="I335" s="11">
        <v>22.7</v>
      </c>
      <c r="J335" s="11">
        <f t="shared" si="10"/>
        <v>4.6125461254612548</v>
      </c>
      <c r="K335" s="10" t="str">
        <f t="shared" si="11"/>
        <v>Lower calorie; Moderate protein density; Moderate carb; Moderate fat</v>
      </c>
      <c r="L335" s="10" t="s">
        <v>1473</v>
      </c>
      <c r="M335" s="10" t="s">
        <v>32</v>
      </c>
      <c r="N335" s="10" t="s">
        <v>33</v>
      </c>
    </row>
    <row r="336" spans="1:14" ht="34" customHeight="1">
      <c r="A336" s="9" t="s">
        <v>1474</v>
      </c>
      <c r="B336" s="9" t="s">
        <v>47</v>
      </c>
      <c r="C336" s="10" t="s">
        <v>1475</v>
      </c>
      <c r="D336" s="10" t="s">
        <v>1476</v>
      </c>
      <c r="E336" s="10" t="s">
        <v>1477</v>
      </c>
      <c r="F336" s="11">
        <v>779</v>
      </c>
      <c r="G336" s="11">
        <v>16</v>
      </c>
      <c r="H336" s="11">
        <v>53</v>
      </c>
      <c r="I336" s="11">
        <v>56.4</v>
      </c>
      <c r="J336" s="11">
        <f t="shared" si="10"/>
        <v>2.0539152759948651</v>
      </c>
      <c r="K336" s="10" t="str">
        <f t="shared" si="11"/>
        <v>Moderate calorie; Low protein density; Moderate carb; High fat</v>
      </c>
      <c r="L336" s="10" t="s">
        <v>1478</v>
      </c>
      <c r="M336" s="10" t="s">
        <v>32</v>
      </c>
      <c r="N336" s="10" t="s">
        <v>33</v>
      </c>
    </row>
    <row r="337" spans="1:14" ht="34" customHeight="1">
      <c r="A337" s="9" t="s">
        <v>1479</v>
      </c>
      <c r="B337" s="9" t="s">
        <v>83</v>
      </c>
      <c r="C337" s="10" t="s">
        <v>1480</v>
      </c>
      <c r="D337" s="10" t="s">
        <v>1481</v>
      </c>
      <c r="E337" s="10" t="s">
        <v>1482</v>
      </c>
      <c r="F337" s="11">
        <v>330</v>
      </c>
      <c r="G337" s="11">
        <v>31</v>
      </c>
      <c r="H337" s="11">
        <v>18</v>
      </c>
      <c r="I337" s="11">
        <v>16</v>
      </c>
      <c r="J337" s="11">
        <f t="shared" si="10"/>
        <v>9.3939393939393927</v>
      </c>
      <c r="K337" s="10" t="str">
        <f t="shared" si="11"/>
        <v>Lower calorie; High protein density; Low carb; Low fat</v>
      </c>
      <c r="L337" s="10" t="s">
        <v>1483</v>
      </c>
      <c r="M337" s="10" t="s">
        <v>32</v>
      </c>
      <c r="N337" s="10" t="s">
        <v>33</v>
      </c>
    </row>
    <row r="338" spans="1:14" ht="34" customHeight="1">
      <c r="A338" s="9" t="s">
        <v>1484</v>
      </c>
      <c r="B338" s="9" t="s">
        <v>296</v>
      </c>
      <c r="C338" s="10" t="s">
        <v>120</v>
      </c>
      <c r="D338" s="10" t="s">
        <v>1485</v>
      </c>
      <c r="E338" s="10" t="s">
        <v>1486</v>
      </c>
      <c r="F338" s="11">
        <v>820</v>
      </c>
      <c r="G338" s="11">
        <v>23</v>
      </c>
      <c r="H338" s="11">
        <v>57</v>
      </c>
      <c r="I338" s="11">
        <v>54</v>
      </c>
      <c r="J338" s="11">
        <f t="shared" si="10"/>
        <v>2.8048780487804881</v>
      </c>
      <c r="K338" s="10" t="str">
        <f t="shared" si="11"/>
        <v>Higher calorie; Low protein density; Moderate carb; High fat</v>
      </c>
      <c r="L338" s="10" t="s">
        <v>1487</v>
      </c>
      <c r="M338" s="10" t="s">
        <v>32</v>
      </c>
      <c r="N338" s="10" t="s">
        <v>33</v>
      </c>
    </row>
    <row r="339" spans="1:14" ht="34" customHeight="1">
      <c r="A339" s="9" t="s">
        <v>1488</v>
      </c>
      <c r="B339" s="9" t="s">
        <v>77</v>
      </c>
      <c r="C339" s="10" t="s">
        <v>653</v>
      </c>
      <c r="D339" s="10" t="s">
        <v>1489</v>
      </c>
      <c r="E339" s="10" t="s">
        <v>1490</v>
      </c>
      <c r="F339" s="11">
        <v>421</v>
      </c>
      <c r="G339" s="11">
        <v>27</v>
      </c>
      <c r="H339" s="11">
        <v>37</v>
      </c>
      <c r="I339" s="11">
        <v>19</v>
      </c>
      <c r="J339" s="11">
        <f t="shared" si="10"/>
        <v>6.4133016627078394</v>
      </c>
      <c r="K339" s="10" t="str">
        <f t="shared" si="11"/>
        <v>Lower calorie; High protein density; Moderate carb; Low fat</v>
      </c>
      <c r="L339" s="10" t="s">
        <v>1491</v>
      </c>
      <c r="M339" s="10" t="s">
        <v>32</v>
      </c>
      <c r="N339" s="10" t="s">
        <v>33</v>
      </c>
    </row>
    <row r="340" spans="1:14" ht="34" customHeight="1">
      <c r="A340" s="9" t="s">
        <v>1492</v>
      </c>
      <c r="B340" s="9" t="s">
        <v>89</v>
      </c>
      <c r="C340" s="10" t="s">
        <v>144</v>
      </c>
      <c r="D340" s="10" t="s">
        <v>1493</v>
      </c>
      <c r="E340" s="10" t="s">
        <v>1494</v>
      </c>
      <c r="F340" s="11">
        <v>1290</v>
      </c>
      <c r="G340" s="11">
        <v>61</v>
      </c>
      <c r="H340" s="11">
        <v>61</v>
      </c>
      <c r="I340" s="11">
        <v>85</v>
      </c>
      <c r="J340" s="11">
        <f t="shared" si="10"/>
        <v>4.7286821705426352</v>
      </c>
      <c r="K340" s="10" t="str">
        <f t="shared" si="11"/>
        <v>Higher calorie; Moderate protein density; Moderate carb; High fat</v>
      </c>
      <c r="L340" s="10" t="s">
        <v>123</v>
      </c>
      <c r="M340" s="10" t="s">
        <v>32</v>
      </c>
      <c r="N340" s="10" t="s">
        <v>33</v>
      </c>
    </row>
    <row r="341" spans="1:14" ht="34" customHeight="1">
      <c r="A341" s="9" t="s">
        <v>1495</v>
      </c>
      <c r="B341" s="9" t="s">
        <v>415</v>
      </c>
      <c r="C341" s="10" t="s">
        <v>1496</v>
      </c>
      <c r="D341" s="10" t="s">
        <v>1497</v>
      </c>
      <c r="E341" s="10" t="s">
        <v>1498</v>
      </c>
      <c r="F341" s="11">
        <v>670</v>
      </c>
      <c r="G341" s="11">
        <v>29</v>
      </c>
      <c r="H341" s="11">
        <v>19</v>
      </c>
      <c r="I341" s="11">
        <v>54</v>
      </c>
      <c r="J341" s="11">
        <f t="shared" si="10"/>
        <v>4.3283582089552244</v>
      </c>
      <c r="K341" s="10" t="str">
        <f t="shared" si="11"/>
        <v>Moderate calorie; Moderate protein density; Low carb; High fat</v>
      </c>
      <c r="L341" s="10" t="s">
        <v>1499</v>
      </c>
      <c r="M341" s="10" t="s">
        <v>32</v>
      </c>
      <c r="N341" s="10" t="s">
        <v>33</v>
      </c>
    </row>
    <row r="342" spans="1:14" ht="34" customHeight="1">
      <c r="A342" s="9" t="s">
        <v>1500</v>
      </c>
      <c r="B342" s="9" t="s">
        <v>280</v>
      </c>
      <c r="C342" s="10" t="s">
        <v>1501</v>
      </c>
      <c r="D342" s="10" t="s">
        <v>1502</v>
      </c>
      <c r="E342" s="10" t="s">
        <v>1503</v>
      </c>
      <c r="F342" s="11">
        <v>270</v>
      </c>
      <c r="G342" s="11">
        <v>7</v>
      </c>
      <c r="H342" s="11">
        <v>31</v>
      </c>
      <c r="I342" s="11">
        <v>13</v>
      </c>
      <c r="J342" s="11">
        <f t="shared" si="10"/>
        <v>2.5925925925925926</v>
      </c>
      <c r="K342" s="10" t="str">
        <f t="shared" si="11"/>
        <v>Lower calorie; Low protein density; Moderate carb; Low fat</v>
      </c>
      <c r="L342" s="10" t="s">
        <v>1504</v>
      </c>
      <c r="M342" s="10" t="s">
        <v>32</v>
      </c>
      <c r="N342" s="10" t="s">
        <v>33</v>
      </c>
    </row>
    <row r="343" spans="1:14" ht="34" customHeight="1">
      <c r="A343" s="9" t="s">
        <v>1505</v>
      </c>
      <c r="B343" s="9" t="s">
        <v>415</v>
      </c>
      <c r="C343" s="10" t="s">
        <v>1506</v>
      </c>
      <c r="D343" s="10" t="s">
        <v>1507</v>
      </c>
      <c r="E343" s="10" t="s">
        <v>1508</v>
      </c>
      <c r="F343" s="11">
        <v>240</v>
      </c>
      <c r="G343" s="11">
        <v>11</v>
      </c>
      <c r="H343" s="11">
        <v>33</v>
      </c>
      <c r="I343" s="11">
        <v>8</v>
      </c>
      <c r="J343" s="11">
        <f t="shared" si="10"/>
        <v>4.583333333333333</v>
      </c>
      <c r="K343" s="10" t="str">
        <f t="shared" si="11"/>
        <v>Lower calorie; Moderate protein density; Moderate carb; Low fat</v>
      </c>
      <c r="L343" s="10" t="s">
        <v>1509</v>
      </c>
      <c r="M343" s="10" t="s">
        <v>32</v>
      </c>
      <c r="N343" s="10" t="s">
        <v>33</v>
      </c>
    </row>
    <row r="344" spans="1:14" ht="34" customHeight="1">
      <c r="A344" s="9" t="s">
        <v>1510</v>
      </c>
      <c r="B344" s="9" t="s">
        <v>350</v>
      </c>
      <c r="C344" s="10" t="s">
        <v>191</v>
      </c>
      <c r="D344" s="10" t="s">
        <v>1511</v>
      </c>
      <c r="E344" s="10" t="s">
        <v>1512</v>
      </c>
      <c r="F344" s="11">
        <v>540</v>
      </c>
      <c r="G344" s="11">
        <v>17</v>
      </c>
      <c r="H344" s="11">
        <v>64</v>
      </c>
      <c r="I344" s="11">
        <v>25</v>
      </c>
      <c r="J344" s="11">
        <f t="shared" si="10"/>
        <v>3.1481481481481479</v>
      </c>
      <c r="K344" s="10" t="str">
        <f t="shared" si="11"/>
        <v>Lower calorie; Low protein density; Moderate carb; Moderate fat</v>
      </c>
      <c r="L344" s="10" t="s">
        <v>1513</v>
      </c>
      <c r="M344" s="10" t="s">
        <v>32</v>
      </c>
      <c r="N344" s="10" t="s">
        <v>33</v>
      </c>
    </row>
    <row r="345" spans="1:14" ht="34" customHeight="1">
      <c r="A345" s="9" t="s">
        <v>1514</v>
      </c>
      <c r="B345" s="9" t="s">
        <v>77</v>
      </c>
      <c r="C345" s="10" t="s">
        <v>483</v>
      </c>
      <c r="D345" s="10" t="s">
        <v>1515</v>
      </c>
      <c r="E345" s="10" t="s">
        <v>1516</v>
      </c>
      <c r="F345" s="11">
        <v>784</v>
      </c>
      <c r="G345" s="11">
        <v>42</v>
      </c>
      <c r="H345" s="11">
        <v>77</v>
      </c>
      <c r="I345" s="11">
        <v>36.1</v>
      </c>
      <c r="J345" s="11">
        <f t="shared" si="10"/>
        <v>5.3571428571428568</v>
      </c>
      <c r="K345" s="10" t="str">
        <f t="shared" si="11"/>
        <v>Moderate calorie; High protein density; High carb; Moderate fat</v>
      </c>
      <c r="L345" s="10" t="s">
        <v>1517</v>
      </c>
      <c r="M345" s="10" t="s">
        <v>32</v>
      </c>
      <c r="N345" s="10" t="s">
        <v>33</v>
      </c>
    </row>
    <row r="346" spans="1:14" ht="34" customHeight="1">
      <c r="A346" s="9" t="s">
        <v>1518</v>
      </c>
      <c r="B346" s="9" t="s">
        <v>190</v>
      </c>
      <c r="C346" s="10" t="s">
        <v>1519</v>
      </c>
      <c r="D346" s="10" t="s">
        <v>1520</v>
      </c>
      <c r="E346" s="10" t="s">
        <v>1521</v>
      </c>
      <c r="F346" s="11">
        <v>660</v>
      </c>
      <c r="G346" s="11">
        <v>21</v>
      </c>
      <c r="H346" s="11">
        <v>88</v>
      </c>
      <c r="I346" s="11">
        <v>24</v>
      </c>
      <c r="J346" s="11">
        <f t="shared" si="10"/>
        <v>3.1818181818181817</v>
      </c>
      <c r="K346" s="10" t="str">
        <f t="shared" si="11"/>
        <v>Moderate calorie; Low protein density; High carb; Moderate fat</v>
      </c>
      <c r="L346" s="10" t="s">
        <v>1522</v>
      </c>
      <c r="M346" s="10" t="s">
        <v>32</v>
      </c>
      <c r="N346" s="10" t="s">
        <v>33</v>
      </c>
    </row>
    <row r="347" spans="1:14" ht="34" customHeight="1">
      <c r="A347" s="9" t="s">
        <v>1523</v>
      </c>
      <c r="B347" s="9" t="s">
        <v>27</v>
      </c>
      <c r="C347" s="10" t="s">
        <v>483</v>
      </c>
      <c r="D347" s="10" t="s">
        <v>1524</v>
      </c>
      <c r="E347" s="10" t="s">
        <v>1525</v>
      </c>
      <c r="F347" s="11">
        <v>690</v>
      </c>
      <c r="G347" s="11">
        <v>10</v>
      </c>
      <c r="H347" s="11">
        <v>94</v>
      </c>
      <c r="I347" s="11">
        <v>29</v>
      </c>
      <c r="J347" s="11">
        <f t="shared" si="10"/>
        <v>1.4492753623188406</v>
      </c>
      <c r="K347" s="10" t="str">
        <f t="shared" si="11"/>
        <v>Moderate calorie; Low protein density; High carb; Moderate fat</v>
      </c>
      <c r="L347" s="10" t="s">
        <v>1526</v>
      </c>
      <c r="M347" s="10" t="s">
        <v>32</v>
      </c>
      <c r="N347" s="10" t="s">
        <v>33</v>
      </c>
    </row>
    <row r="348" spans="1:14" ht="34" customHeight="1">
      <c r="A348" s="9" t="s">
        <v>1527</v>
      </c>
      <c r="B348" s="9" t="s">
        <v>125</v>
      </c>
      <c r="C348" s="10" t="s">
        <v>1528</v>
      </c>
      <c r="D348" s="10" t="s">
        <v>1529</v>
      </c>
      <c r="E348" s="10" t="s">
        <v>1530</v>
      </c>
      <c r="F348" s="11">
        <v>260</v>
      </c>
      <c r="G348" s="11">
        <v>10</v>
      </c>
      <c r="H348" s="11">
        <v>43</v>
      </c>
      <c r="I348" s="11">
        <v>5</v>
      </c>
      <c r="J348" s="11">
        <f t="shared" si="10"/>
        <v>3.8461538461538463</v>
      </c>
      <c r="K348" s="10" t="str">
        <f t="shared" si="11"/>
        <v>Lower calorie; Moderate protein density; Moderate carb; Low fat</v>
      </c>
      <c r="L348" s="10" t="s">
        <v>1531</v>
      </c>
      <c r="M348" s="10" t="s">
        <v>32</v>
      </c>
      <c r="N348" s="10" t="s">
        <v>33</v>
      </c>
    </row>
    <row r="349" spans="1:14" ht="34" customHeight="1">
      <c r="A349" s="9" t="s">
        <v>1532</v>
      </c>
      <c r="B349" s="9" t="s">
        <v>361</v>
      </c>
      <c r="C349" s="10" t="s">
        <v>362</v>
      </c>
      <c r="D349" s="10" t="s">
        <v>1533</v>
      </c>
      <c r="E349" s="10" t="s">
        <v>1534</v>
      </c>
      <c r="F349" s="11">
        <v>440</v>
      </c>
      <c r="G349" s="11">
        <v>30</v>
      </c>
      <c r="H349" s="11">
        <v>57</v>
      </c>
      <c r="I349" s="11">
        <v>9</v>
      </c>
      <c r="J349" s="11">
        <f t="shared" si="10"/>
        <v>6.8181818181818175</v>
      </c>
      <c r="K349" s="10" t="str">
        <f t="shared" si="11"/>
        <v>Lower calorie; High protein density; Moderate carb; Low fat</v>
      </c>
      <c r="L349" s="10" t="s">
        <v>1535</v>
      </c>
      <c r="M349" s="10" t="s">
        <v>32</v>
      </c>
      <c r="N349" s="10" t="s">
        <v>33</v>
      </c>
    </row>
    <row r="350" spans="1:14" ht="34" customHeight="1">
      <c r="A350" s="9" t="s">
        <v>1536</v>
      </c>
      <c r="B350" s="9" t="s">
        <v>107</v>
      </c>
      <c r="C350" s="10" t="s">
        <v>1537</v>
      </c>
      <c r="D350" s="10" t="s">
        <v>1538</v>
      </c>
      <c r="E350" s="10" t="s">
        <v>1539</v>
      </c>
      <c r="F350" s="11">
        <v>630</v>
      </c>
      <c r="G350" s="11">
        <v>44</v>
      </c>
      <c r="H350" s="11">
        <v>20</v>
      </c>
      <c r="I350" s="11">
        <v>41</v>
      </c>
      <c r="J350" s="11">
        <f t="shared" si="10"/>
        <v>6.9841269841269842</v>
      </c>
      <c r="K350" s="10" t="str">
        <f t="shared" si="11"/>
        <v>Moderate calorie; High protein density; Low carb; High fat</v>
      </c>
      <c r="L350" s="10" t="s">
        <v>1540</v>
      </c>
      <c r="M350" s="10" t="s">
        <v>32</v>
      </c>
      <c r="N350" s="10" t="s">
        <v>33</v>
      </c>
    </row>
    <row r="351" spans="1:14" ht="34" customHeight="1">
      <c r="A351" s="9" t="s">
        <v>1541</v>
      </c>
      <c r="B351" s="9" t="s">
        <v>296</v>
      </c>
      <c r="C351" s="10" t="s">
        <v>1542</v>
      </c>
      <c r="D351" s="10" t="s">
        <v>1543</v>
      </c>
      <c r="E351" s="10" t="s">
        <v>1544</v>
      </c>
      <c r="F351" s="11">
        <v>610</v>
      </c>
      <c r="G351" s="11">
        <v>48</v>
      </c>
      <c r="H351" s="11">
        <v>25</v>
      </c>
      <c r="I351" s="11">
        <v>37</v>
      </c>
      <c r="J351" s="11">
        <f t="shared" si="10"/>
        <v>7.8688524590163942</v>
      </c>
      <c r="K351" s="10" t="str">
        <f t="shared" si="11"/>
        <v>Moderate calorie; High protein density; Low carb; Moderate fat</v>
      </c>
      <c r="L351" s="10" t="s">
        <v>1545</v>
      </c>
      <c r="M351" s="10" t="s">
        <v>32</v>
      </c>
      <c r="N351" s="10" t="s">
        <v>33</v>
      </c>
    </row>
    <row r="352" spans="1:14" ht="34" customHeight="1">
      <c r="A352" s="9" t="s">
        <v>1546</v>
      </c>
      <c r="B352" s="9" t="s">
        <v>190</v>
      </c>
      <c r="C352" s="10" t="s">
        <v>191</v>
      </c>
      <c r="D352" s="10" t="s">
        <v>1547</v>
      </c>
      <c r="E352" s="10" t="s">
        <v>1548</v>
      </c>
      <c r="F352" s="11">
        <v>554</v>
      </c>
      <c r="G352" s="11">
        <v>16</v>
      </c>
      <c r="H352" s="11">
        <v>70</v>
      </c>
      <c r="I352" s="11">
        <v>22.8</v>
      </c>
      <c r="J352" s="11">
        <f t="shared" si="10"/>
        <v>2.8880866425992782</v>
      </c>
      <c r="K352" s="10" t="str">
        <f t="shared" si="11"/>
        <v>Lower calorie; Low protein density; High carb; Moderate fat</v>
      </c>
      <c r="L352" s="10" t="s">
        <v>1549</v>
      </c>
      <c r="M352" s="10" t="s">
        <v>32</v>
      </c>
      <c r="N352" s="10" t="s">
        <v>33</v>
      </c>
    </row>
    <row r="353" spans="1:14" ht="34" customHeight="1">
      <c r="A353" s="9" t="s">
        <v>1550</v>
      </c>
      <c r="B353" s="9" t="s">
        <v>340</v>
      </c>
      <c r="C353" s="10" t="s">
        <v>569</v>
      </c>
      <c r="D353" s="10" t="s">
        <v>1551</v>
      </c>
      <c r="E353" s="10" t="s">
        <v>1552</v>
      </c>
      <c r="F353" s="11">
        <v>900</v>
      </c>
      <c r="G353" s="11">
        <v>27</v>
      </c>
      <c r="H353" s="11">
        <v>95</v>
      </c>
      <c r="I353" s="11">
        <v>46</v>
      </c>
      <c r="J353" s="11">
        <f t="shared" si="10"/>
        <v>3</v>
      </c>
      <c r="K353" s="10" t="str">
        <f t="shared" si="11"/>
        <v>Higher calorie; Low protein density; High carb; High fat</v>
      </c>
      <c r="L353" s="10" t="s">
        <v>1553</v>
      </c>
      <c r="M353" s="10" t="s">
        <v>32</v>
      </c>
      <c r="N353" s="10" t="s">
        <v>33</v>
      </c>
    </row>
    <row r="354" spans="1:14" ht="34" customHeight="1">
      <c r="A354" s="9" t="s">
        <v>1554</v>
      </c>
      <c r="B354" s="9" t="s">
        <v>137</v>
      </c>
      <c r="C354" s="10" t="s">
        <v>256</v>
      </c>
      <c r="D354" s="10" t="s">
        <v>1555</v>
      </c>
      <c r="E354" s="10" t="s">
        <v>1556</v>
      </c>
      <c r="F354" s="11">
        <v>520</v>
      </c>
      <c r="G354" s="11">
        <v>28</v>
      </c>
      <c r="H354" s="11">
        <v>57</v>
      </c>
      <c r="I354" s="11">
        <v>20</v>
      </c>
      <c r="J354" s="11">
        <f t="shared" si="10"/>
        <v>5.384615384615385</v>
      </c>
      <c r="K354" s="10" t="str">
        <f t="shared" si="11"/>
        <v>Lower calorie; High protein density; Moderate carb; Low fat</v>
      </c>
      <c r="L354" s="10" t="s">
        <v>1557</v>
      </c>
      <c r="M354" s="10" t="s">
        <v>32</v>
      </c>
      <c r="N354" s="10" t="s">
        <v>33</v>
      </c>
    </row>
    <row r="355" spans="1:14" ht="34" customHeight="1">
      <c r="A355" s="9" t="s">
        <v>1558</v>
      </c>
      <c r="B355" s="9" t="s">
        <v>35</v>
      </c>
      <c r="C355" s="10" t="s">
        <v>1559</v>
      </c>
      <c r="D355" s="10" t="s">
        <v>1560</v>
      </c>
      <c r="E355" s="10" t="s">
        <v>1561</v>
      </c>
      <c r="F355" s="11">
        <v>635</v>
      </c>
      <c r="G355" s="11">
        <v>45</v>
      </c>
      <c r="H355" s="11">
        <v>48</v>
      </c>
      <c r="I355" s="11">
        <v>30.4</v>
      </c>
      <c r="J355" s="11">
        <f t="shared" si="10"/>
        <v>7.0866141732283463</v>
      </c>
      <c r="K355" s="10" t="str">
        <f t="shared" si="11"/>
        <v>Moderate calorie; High protein density; Moderate carb; Moderate fat</v>
      </c>
      <c r="L355" s="10" t="s">
        <v>1562</v>
      </c>
      <c r="M355" s="10" t="s">
        <v>32</v>
      </c>
      <c r="N355" s="10" t="s">
        <v>33</v>
      </c>
    </row>
    <row r="356" spans="1:14" ht="34" customHeight="1">
      <c r="A356" s="9" t="s">
        <v>1563</v>
      </c>
      <c r="B356" s="9" t="s">
        <v>184</v>
      </c>
      <c r="C356" s="10" t="s">
        <v>60</v>
      </c>
      <c r="D356" s="10" t="s">
        <v>1564</v>
      </c>
      <c r="E356" s="10" t="s">
        <v>1565</v>
      </c>
      <c r="F356" s="11">
        <v>900</v>
      </c>
      <c r="G356" s="11">
        <v>38</v>
      </c>
      <c r="H356" s="11">
        <v>87</v>
      </c>
      <c r="I356" s="11">
        <v>46</v>
      </c>
      <c r="J356" s="11">
        <f t="shared" si="10"/>
        <v>4.2222222222222223</v>
      </c>
      <c r="K356" s="10" t="str">
        <f t="shared" si="11"/>
        <v>Higher calorie; Moderate protein density; High carb; High fat</v>
      </c>
      <c r="L356" s="10" t="s">
        <v>1566</v>
      </c>
      <c r="M356" s="10" t="s">
        <v>32</v>
      </c>
      <c r="N356" s="10" t="s">
        <v>33</v>
      </c>
    </row>
    <row r="357" spans="1:14" ht="34" customHeight="1">
      <c r="A357" s="9" t="s">
        <v>1567</v>
      </c>
      <c r="B357" s="9" t="s">
        <v>71</v>
      </c>
      <c r="C357" s="10" t="s">
        <v>256</v>
      </c>
      <c r="D357" s="10" t="s">
        <v>1568</v>
      </c>
      <c r="E357" s="10" t="s">
        <v>1569</v>
      </c>
      <c r="F357" s="11">
        <v>500</v>
      </c>
      <c r="G357" s="11">
        <v>15</v>
      </c>
      <c r="H357" s="11">
        <v>74</v>
      </c>
      <c r="I357" s="11">
        <v>17</v>
      </c>
      <c r="J357" s="11">
        <f t="shared" si="10"/>
        <v>3</v>
      </c>
      <c r="K357" s="10" t="str">
        <f t="shared" si="11"/>
        <v>Lower calorie; Low protein density; High carb; Low fat</v>
      </c>
      <c r="L357" s="10" t="s">
        <v>1570</v>
      </c>
      <c r="M357" s="10" t="s">
        <v>32</v>
      </c>
      <c r="N357" s="10" t="s">
        <v>33</v>
      </c>
    </row>
    <row r="358" spans="1:14" ht="34" customHeight="1">
      <c r="A358" s="9" t="s">
        <v>1571</v>
      </c>
      <c r="B358" s="9" t="s">
        <v>235</v>
      </c>
      <c r="C358" s="10" t="s">
        <v>362</v>
      </c>
      <c r="D358" s="10" t="s">
        <v>1572</v>
      </c>
      <c r="E358" s="10" t="s">
        <v>1573</v>
      </c>
      <c r="F358" s="11">
        <v>590</v>
      </c>
      <c r="G358" s="11">
        <v>38</v>
      </c>
      <c r="H358" s="11">
        <v>46</v>
      </c>
      <c r="I358" s="11">
        <v>30</v>
      </c>
      <c r="J358" s="11">
        <f t="shared" si="10"/>
        <v>6.4406779661016946</v>
      </c>
      <c r="K358" s="10" t="str">
        <f t="shared" si="11"/>
        <v>Lower calorie; High protein density; Moderate carb; Moderate fat</v>
      </c>
      <c r="L358" s="10" t="s">
        <v>1574</v>
      </c>
      <c r="M358" s="10" t="s">
        <v>32</v>
      </c>
      <c r="N358" s="10" t="s">
        <v>33</v>
      </c>
    </row>
  </sheetData>
  <conditionalFormatting sqref="M8:M358">
    <cfRule type="containsText" dxfId="1" priority="2" operator="containsText" text="out of stock"/>
  </conditionalFormatting>
  <conditionalFormatting sqref="N8:N358">
    <cfRule type="containsText" dxfId="0" priority="1" operator="containsText" text="failed"/>
  </conditionalFormatting>
  <pageMargins left="0.7" right="0.7" top="0.75" bottom="0.75" header="0.3" footer="0.3"/>
  <headerFooter>
    <oddHeader>&amp;L&amp;"Aptos"&amp;8&amp;K000000 CONFIDENTIAL&amp;1#_x000D_&amp;C&amp;G</oddHeader>
    <oddFooter>&amp;L_x000D_&amp;1#&amp;"Aptos"&amp;9&amp;K000000 This document contains confidential company information. Do not share externally.</oddFooter>
  </headerFooter>
  <legacyDrawingHF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AA68F"/>
  </sheetPr>
  <dimension ref="A2:H286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D8" sqref="D8"/>
    </sheetView>
  </sheetViews>
  <sheetFormatPr baseColWidth="10" defaultColWidth="8.83203125" defaultRowHeight="14"/>
  <cols>
    <col min="1" max="2" width="25" customWidth="1"/>
    <col min="3" max="3" width="34" customWidth="1"/>
    <col min="4" max="4" width="13" customWidth="1"/>
    <col min="5" max="5" width="27" customWidth="1"/>
    <col min="6" max="6" width="22" customWidth="1"/>
    <col min="7" max="7" width="65" customWidth="1"/>
    <col min="8" max="8" width="54" customWidth="1"/>
  </cols>
  <sheetData>
    <row r="2" spans="1:8" ht="26" customHeight="1">
      <c r="A2" s="1" t="s">
        <v>1575</v>
      </c>
    </row>
    <row r="3" spans="1:8" ht="42" customHeight="1">
      <c r="A3" s="2" t="s">
        <v>1576</v>
      </c>
      <c r="B3" s="2"/>
      <c r="C3" s="2"/>
      <c r="D3" s="2"/>
      <c r="E3" s="2"/>
      <c r="F3" s="2"/>
      <c r="G3" s="2"/>
      <c r="H3" s="2"/>
    </row>
    <row r="5" spans="1:8" ht="26" customHeight="1">
      <c r="A5" s="6" t="s">
        <v>1577</v>
      </c>
      <c r="B5" s="4">
        <v>351</v>
      </c>
      <c r="C5" s="7" t="s">
        <v>5</v>
      </c>
      <c r="D5" s="4">
        <v>351</v>
      </c>
      <c r="E5" s="7" t="s">
        <v>6</v>
      </c>
      <c r="F5" s="4">
        <v>14</v>
      </c>
      <c r="G5" s="7" t="s">
        <v>1578</v>
      </c>
      <c r="H5" s="5">
        <v>264</v>
      </c>
    </row>
    <row r="7" spans="1:8" ht="36" customHeight="1">
      <c r="A7" s="8" t="s">
        <v>1579</v>
      </c>
      <c r="B7" s="8" t="s">
        <v>1580</v>
      </c>
      <c r="C7" s="8" t="s">
        <v>1581</v>
      </c>
      <c r="D7" s="8" t="s">
        <v>1582</v>
      </c>
      <c r="E7" s="8" t="s">
        <v>1583</v>
      </c>
      <c r="F7" s="8" t="s">
        <v>1584</v>
      </c>
      <c r="G7" s="8" t="s">
        <v>1585</v>
      </c>
      <c r="H7" s="8" t="s">
        <v>1586</v>
      </c>
    </row>
    <row r="8" spans="1:8" ht="32" customHeight="1">
      <c r="A8" s="12" t="s">
        <v>1587</v>
      </c>
      <c r="B8" s="12" t="s">
        <v>1588</v>
      </c>
      <c r="C8" s="12" t="s">
        <v>1589</v>
      </c>
      <c r="D8" s="13"/>
      <c r="E8" s="14" t="s">
        <v>1590</v>
      </c>
      <c r="F8" s="13"/>
      <c r="G8" s="12" t="s">
        <v>1591</v>
      </c>
      <c r="H8" s="12" t="s">
        <v>1592</v>
      </c>
    </row>
    <row r="9" spans="1:8" ht="32" customHeight="1">
      <c r="A9" s="10" t="s">
        <v>1593</v>
      </c>
      <c r="B9" s="10" t="s">
        <v>1594</v>
      </c>
      <c r="C9" s="10" t="s">
        <v>1375</v>
      </c>
      <c r="D9" s="9">
        <v>351</v>
      </c>
      <c r="E9" s="10" t="s">
        <v>1595</v>
      </c>
      <c r="F9" s="9">
        <v>351</v>
      </c>
      <c r="G9" s="10" t="s">
        <v>1596</v>
      </c>
      <c r="H9" s="10" t="s">
        <v>1592</v>
      </c>
    </row>
    <row r="10" spans="1:8" ht="32" customHeight="1">
      <c r="A10" s="10" t="s">
        <v>1593</v>
      </c>
      <c r="B10" s="10" t="s">
        <v>1597</v>
      </c>
      <c r="C10" s="10" t="s">
        <v>1598</v>
      </c>
      <c r="D10" s="9">
        <v>46</v>
      </c>
      <c r="E10" s="10" t="s">
        <v>1595</v>
      </c>
      <c r="F10" s="9">
        <v>46</v>
      </c>
      <c r="G10" s="10" t="s">
        <v>1596</v>
      </c>
      <c r="H10" s="10" t="s">
        <v>1592</v>
      </c>
    </row>
    <row r="11" spans="1:8" ht="32" customHeight="1">
      <c r="A11" s="10" t="s">
        <v>1593</v>
      </c>
      <c r="B11" s="10" t="s">
        <v>1599</v>
      </c>
      <c r="C11" s="10" t="s">
        <v>1600</v>
      </c>
      <c r="D11" s="9">
        <v>95</v>
      </c>
      <c r="E11" s="10" t="s">
        <v>1595</v>
      </c>
      <c r="F11" s="9">
        <v>95</v>
      </c>
      <c r="G11" s="10" t="s">
        <v>1596</v>
      </c>
      <c r="H11" s="10" t="s">
        <v>1592</v>
      </c>
    </row>
    <row r="12" spans="1:8" ht="32" customHeight="1">
      <c r="A12" s="10" t="s">
        <v>1593</v>
      </c>
      <c r="B12" s="10" t="s">
        <v>1597</v>
      </c>
      <c r="C12" s="10" t="s">
        <v>1601</v>
      </c>
      <c r="D12" s="9">
        <v>79</v>
      </c>
      <c r="E12" s="10" t="s">
        <v>1595</v>
      </c>
      <c r="F12" s="9">
        <v>79</v>
      </c>
      <c r="G12" s="10" t="s">
        <v>1596</v>
      </c>
      <c r="H12" s="10" t="s">
        <v>1592</v>
      </c>
    </row>
    <row r="13" spans="1:8" ht="32" customHeight="1">
      <c r="A13" s="10" t="s">
        <v>1593</v>
      </c>
      <c r="B13" s="10" t="s">
        <v>1599</v>
      </c>
      <c r="C13" s="10" t="s">
        <v>1602</v>
      </c>
      <c r="D13" s="9">
        <v>76</v>
      </c>
      <c r="E13" s="10" t="s">
        <v>1595</v>
      </c>
      <c r="F13" s="9">
        <v>76</v>
      </c>
      <c r="G13" s="10" t="s">
        <v>1596</v>
      </c>
      <c r="H13" s="10" t="s">
        <v>1592</v>
      </c>
    </row>
    <row r="14" spans="1:8" ht="32" customHeight="1">
      <c r="A14" s="10" t="s">
        <v>1593</v>
      </c>
      <c r="B14" s="10" t="s">
        <v>1599</v>
      </c>
      <c r="C14" s="10" t="s">
        <v>1603</v>
      </c>
      <c r="D14" s="9">
        <v>82</v>
      </c>
      <c r="E14" s="10" t="s">
        <v>1595</v>
      </c>
      <c r="F14" s="9">
        <v>82</v>
      </c>
      <c r="G14" s="10" t="s">
        <v>1596</v>
      </c>
      <c r="H14" s="10" t="s">
        <v>1592</v>
      </c>
    </row>
    <row r="15" spans="1:8" ht="32" customHeight="1">
      <c r="A15" s="10" t="s">
        <v>1593</v>
      </c>
      <c r="B15" s="10" t="s">
        <v>1597</v>
      </c>
      <c r="C15" s="10" t="s">
        <v>1604</v>
      </c>
      <c r="D15" s="9">
        <v>50</v>
      </c>
      <c r="E15" s="10" t="s">
        <v>1595</v>
      </c>
      <c r="F15" s="9">
        <v>50</v>
      </c>
      <c r="G15" s="10" t="s">
        <v>1596</v>
      </c>
      <c r="H15" s="10" t="s">
        <v>1592</v>
      </c>
    </row>
    <row r="16" spans="1:8" ht="32" customHeight="1">
      <c r="A16" s="10" t="s">
        <v>1593</v>
      </c>
      <c r="B16" s="10" t="s">
        <v>1597</v>
      </c>
      <c r="C16" s="10" t="s">
        <v>1605</v>
      </c>
      <c r="D16" s="9">
        <v>137</v>
      </c>
      <c r="E16" s="10" t="s">
        <v>1595</v>
      </c>
      <c r="F16" s="9">
        <v>137</v>
      </c>
      <c r="G16" s="10" t="s">
        <v>1596</v>
      </c>
      <c r="H16" s="10" t="s">
        <v>1592</v>
      </c>
    </row>
    <row r="17" spans="1:8" ht="32" customHeight="1">
      <c r="A17" s="10" t="s">
        <v>1593</v>
      </c>
      <c r="B17" s="10" t="s">
        <v>1597</v>
      </c>
      <c r="C17" s="10" t="s">
        <v>1606</v>
      </c>
      <c r="D17" s="9">
        <v>74</v>
      </c>
      <c r="E17" s="10" t="s">
        <v>1595</v>
      </c>
      <c r="F17" s="9">
        <v>74</v>
      </c>
      <c r="G17" s="10" t="s">
        <v>1596</v>
      </c>
      <c r="H17" s="10" t="s">
        <v>1592</v>
      </c>
    </row>
    <row r="18" spans="1:8" ht="32" customHeight="1">
      <c r="A18" s="10" t="s">
        <v>1593</v>
      </c>
      <c r="B18" s="10" t="s">
        <v>1597</v>
      </c>
      <c r="C18" s="10" t="s">
        <v>1607</v>
      </c>
      <c r="D18" s="9">
        <v>144</v>
      </c>
      <c r="E18" s="10" t="s">
        <v>1595</v>
      </c>
      <c r="F18" s="9">
        <v>144</v>
      </c>
      <c r="G18" s="10" t="s">
        <v>1596</v>
      </c>
      <c r="H18" s="10" t="s">
        <v>1592</v>
      </c>
    </row>
    <row r="19" spans="1:8" ht="32" customHeight="1">
      <c r="A19" s="10" t="s">
        <v>1593</v>
      </c>
      <c r="B19" s="10" t="s">
        <v>1597</v>
      </c>
      <c r="C19" s="10" t="s">
        <v>1608</v>
      </c>
      <c r="D19" s="9">
        <v>136</v>
      </c>
      <c r="E19" s="10" t="s">
        <v>1595</v>
      </c>
      <c r="F19" s="9">
        <v>136</v>
      </c>
      <c r="G19" s="10" t="s">
        <v>1596</v>
      </c>
      <c r="H19" s="10" t="s">
        <v>1592</v>
      </c>
    </row>
    <row r="20" spans="1:8" ht="32" customHeight="1">
      <c r="A20" s="10" t="s">
        <v>1593</v>
      </c>
      <c r="B20" s="10" t="s">
        <v>1597</v>
      </c>
      <c r="C20" s="10" t="s">
        <v>1609</v>
      </c>
      <c r="D20" s="9">
        <v>60</v>
      </c>
      <c r="E20" s="10" t="s">
        <v>1595</v>
      </c>
      <c r="F20" s="9">
        <v>60</v>
      </c>
      <c r="G20" s="10" t="s">
        <v>1596</v>
      </c>
      <c r="H20" s="10" t="s">
        <v>1592</v>
      </c>
    </row>
    <row r="21" spans="1:8" ht="32" customHeight="1">
      <c r="A21" s="10" t="s">
        <v>1593</v>
      </c>
      <c r="B21" s="10" t="s">
        <v>1597</v>
      </c>
      <c r="C21" s="10" t="s">
        <v>1610</v>
      </c>
      <c r="D21" s="9">
        <v>21</v>
      </c>
      <c r="E21" s="10" t="s">
        <v>1595</v>
      </c>
      <c r="F21" s="9">
        <v>21</v>
      </c>
      <c r="G21" s="10" t="s">
        <v>1596</v>
      </c>
      <c r="H21" s="10" t="s">
        <v>1592</v>
      </c>
    </row>
    <row r="22" spans="1:8" ht="32" customHeight="1">
      <c r="A22" s="10" t="s">
        <v>1593</v>
      </c>
      <c r="B22" s="10" t="s">
        <v>1597</v>
      </c>
      <c r="C22" s="10" t="s">
        <v>1611</v>
      </c>
      <c r="D22" s="9">
        <v>2</v>
      </c>
      <c r="E22" s="10" t="s">
        <v>1595</v>
      </c>
      <c r="F22" s="9">
        <v>2</v>
      </c>
      <c r="G22" s="10" t="s">
        <v>1596</v>
      </c>
      <c r="H22" s="10" t="s">
        <v>1592</v>
      </c>
    </row>
    <row r="23" spans="1:8" ht="32" customHeight="1">
      <c r="A23" s="10" t="s">
        <v>1612</v>
      </c>
      <c r="B23" s="10" t="s">
        <v>1613</v>
      </c>
      <c r="C23" s="10" t="s">
        <v>1614</v>
      </c>
      <c r="D23" s="9">
        <v>22</v>
      </c>
      <c r="E23" s="10" t="s">
        <v>1615</v>
      </c>
      <c r="F23" s="9">
        <v>22</v>
      </c>
      <c r="G23" s="10" t="s">
        <v>1616</v>
      </c>
      <c r="H23" s="10" t="s">
        <v>1617</v>
      </c>
    </row>
    <row r="24" spans="1:8" ht="32" customHeight="1">
      <c r="A24" s="10" t="s">
        <v>1612</v>
      </c>
      <c r="B24" s="10" t="s">
        <v>1613</v>
      </c>
      <c r="C24" s="10" t="s">
        <v>1618</v>
      </c>
      <c r="D24" s="9">
        <v>14</v>
      </c>
      <c r="E24" s="10" t="s">
        <v>1615</v>
      </c>
      <c r="F24" s="9">
        <v>14</v>
      </c>
      <c r="G24" s="10" t="s">
        <v>1616</v>
      </c>
      <c r="H24" s="10" t="s">
        <v>1617</v>
      </c>
    </row>
    <row r="25" spans="1:8" ht="32" customHeight="1">
      <c r="A25" s="10" t="s">
        <v>1612</v>
      </c>
      <c r="B25" s="10" t="s">
        <v>1613</v>
      </c>
      <c r="C25" s="10" t="s">
        <v>1619</v>
      </c>
      <c r="D25" s="9">
        <v>53</v>
      </c>
      <c r="E25" s="10" t="s">
        <v>1615</v>
      </c>
      <c r="F25" s="9">
        <v>53</v>
      </c>
      <c r="G25" s="10" t="s">
        <v>1616</v>
      </c>
      <c r="H25" s="10" t="s">
        <v>1617</v>
      </c>
    </row>
    <row r="26" spans="1:8" ht="32" customHeight="1">
      <c r="A26" s="10" t="s">
        <v>1612</v>
      </c>
      <c r="B26" s="10" t="s">
        <v>1613</v>
      </c>
      <c r="C26" s="10" t="s">
        <v>1620</v>
      </c>
      <c r="D26" s="9">
        <v>40</v>
      </c>
      <c r="E26" s="10" t="s">
        <v>1615</v>
      </c>
      <c r="F26" s="9">
        <v>40</v>
      </c>
      <c r="G26" s="10" t="s">
        <v>1616</v>
      </c>
      <c r="H26" s="10" t="s">
        <v>1617</v>
      </c>
    </row>
    <row r="27" spans="1:8" ht="32" customHeight="1">
      <c r="A27" s="10" t="s">
        <v>1612</v>
      </c>
      <c r="B27" s="10" t="s">
        <v>1613</v>
      </c>
      <c r="C27" s="10" t="s">
        <v>1621</v>
      </c>
      <c r="D27" s="9">
        <v>8</v>
      </c>
      <c r="E27" s="10" t="s">
        <v>1615</v>
      </c>
      <c r="F27" s="9">
        <v>8</v>
      </c>
      <c r="G27" s="10" t="s">
        <v>1616</v>
      </c>
      <c r="H27" s="10" t="s">
        <v>1617</v>
      </c>
    </row>
    <row r="28" spans="1:8" ht="32" customHeight="1">
      <c r="A28" s="10" t="s">
        <v>1612</v>
      </c>
      <c r="B28" s="10" t="s">
        <v>1613</v>
      </c>
      <c r="C28" s="10" t="s">
        <v>1622</v>
      </c>
      <c r="D28" s="9">
        <v>149</v>
      </c>
      <c r="E28" s="10" t="s">
        <v>1615</v>
      </c>
      <c r="F28" s="9">
        <v>149</v>
      </c>
      <c r="G28" s="10" t="s">
        <v>1616</v>
      </c>
      <c r="H28" s="10" t="s">
        <v>1617</v>
      </c>
    </row>
    <row r="29" spans="1:8" ht="32" customHeight="1">
      <c r="A29" s="10" t="s">
        <v>1612</v>
      </c>
      <c r="B29" s="10" t="s">
        <v>1613</v>
      </c>
      <c r="C29" s="10" t="s">
        <v>1623</v>
      </c>
      <c r="D29" s="9">
        <v>50</v>
      </c>
      <c r="E29" s="10" t="s">
        <v>1615</v>
      </c>
      <c r="F29" s="9">
        <v>50</v>
      </c>
      <c r="G29" s="10" t="s">
        <v>1616</v>
      </c>
      <c r="H29" s="10" t="s">
        <v>1617</v>
      </c>
    </row>
    <row r="30" spans="1:8" ht="32" customHeight="1">
      <c r="A30" s="10" t="s">
        <v>1612</v>
      </c>
      <c r="B30" s="10" t="s">
        <v>1613</v>
      </c>
      <c r="C30" s="10" t="s">
        <v>1624</v>
      </c>
      <c r="D30" s="9">
        <v>63</v>
      </c>
      <c r="E30" s="10" t="s">
        <v>1615</v>
      </c>
      <c r="F30" s="9">
        <v>63</v>
      </c>
      <c r="G30" s="10" t="s">
        <v>1616</v>
      </c>
      <c r="H30" s="10" t="s">
        <v>1617</v>
      </c>
    </row>
    <row r="31" spans="1:8" ht="32" customHeight="1">
      <c r="A31" s="10" t="s">
        <v>1612</v>
      </c>
      <c r="B31" s="10" t="s">
        <v>1613</v>
      </c>
      <c r="C31" s="10" t="s">
        <v>1625</v>
      </c>
      <c r="D31" s="9">
        <v>3</v>
      </c>
      <c r="E31" s="10" t="s">
        <v>1615</v>
      </c>
      <c r="F31" s="9">
        <v>3</v>
      </c>
      <c r="G31" s="10" t="s">
        <v>1616</v>
      </c>
      <c r="H31" s="10" t="s">
        <v>1617</v>
      </c>
    </row>
    <row r="32" spans="1:8" ht="32" customHeight="1">
      <c r="A32" s="10" t="s">
        <v>1612</v>
      </c>
      <c r="B32" s="10" t="s">
        <v>1613</v>
      </c>
      <c r="C32" s="10" t="s">
        <v>1626</v>
      </c>
      <c r="D32" s="9">
        <v>1</v>
      </c>
      <c r="E32" s="10" t="s">
        <v>1615</v>
      </c>
      <c r="F32" s="9">
        <v>1</v>
      </c>
      <c r="G32" s="10" t="s">
        <v>1616</v>
      </c>
      <c r="H32" s="10" t="s">
        <v>1617</v>
      </c>
    </row>
    <row r="33" spans="1:8" ht="32" customHeight="1">
      <c r="A33" s="10" t="s">
        <v>1612</v>
      </c>
      <c r="B33" s="10" t="s">
        <v>1613</v>
      </c>
      <c r="C33" s="10" t="s">
        <v>1627</v>
      </c>
      <c r="D33" s="9">
        <v>1</v>
      </c>
      <c r="E33" s="10" t="s">
        <v>1615</v>
      </c>
      <c r="F33" s="9">
        <v>1</v>
      </c>
      <c r="G33" s="10" t="s">
        <v>1616</v>
      </c>
      <c r="H33" s="10" t="s">
        <v>1617</v>
      </c>
    </row>
    <row r="34" spans="1:8" ht="32" customHeight="1">
      <c r="A34" s="10" t="s">
        <v>1612</v>
      </c>
      <c r="B34" s="10" t="s">
        <v>1613</v>
      </c>
      <c r="C34" s="10" t="s">
        <v>1628</v>
      </c>
      <c r="D34" s="9">
        <v>25</v>
      </c>
      <c r="E34" s="10" t="s">
        <v>1615</v>
      </c>
      <c r="F34" s="9">
        <v>25</v>
      </c>
      <c r="G34" s="10" t="s">
        <v>1616</v>
      </c>
      <c r="H34" s="10" t="s">
        <v>1617</v>
      </c>
    </row>
    <row r="35" spans="1:8" ht="32" customHeight="1">
      <c r="A35" s="10" t="s">
        <v>1612</v>
      </c>
      <c r="B35" s="10" t="s">
        <v>1613</v>
      </c>
      <c r="C35" s="10" t="s">
        <v>1629</v>
      </c>
      <c r="D35" s="9">
        <v>26</v>
      </c>
      <c r="E35" s="10" t="s">
        <v>1615</v>
      </c>
      <c r="F35" s="9">
        <v>26</v>
      </c>
      <c r="G35" s="10" t="s">
        <v>1616</v>
      </c>
      <c r="H35" s="10" t="s">
        <v>1617</v>
      </c>
    </row>
    <row r="36" spans="1:8" ht="32" customHeight="1">
      <c r="A36" s="10" t="s">
        <v>1612</v>
      </c>
      <c r="B36" s="10" t="s">
        <v>13</v>
      </c>
      <c r="C36" s="10" t="s">
        <v>35</v>
      </c>
      <c r="D36" s="9">
        <v>11</v>
      </c>
      <c r="E36" s="10" t="s">
        <v>1615</v>
      </c>
      <c r="F36" s="9">
        <v>11</v>
      </c>
      <c r="G36" s="10" t="s">
        <v>1616</v>
      </c>
      <c r="H36" s="10" t="s">
        <v>1617</v>
      </c>
    </row>
    <row r="37" spans="1:8" ht="32" customHeight="1">
      <c r="A37" s="10" t="s">
        <v>1612</v>
      </c>
      <c r="B37" s="10" t="s">
        <v>13</v>
      </c>
      <c r="C37" s="10" t="s">
        <v>131</v>
      </c>
      <c r="D37" s="9">
        <v>11</v>
      </c>
      <c r="E37" s="10" t="s">
        <v>1615</v>
      </c>
      <c r="F37" s="9">
        <v>11</v>
      </c>
      <c r="G37" s="10" t="s">
        <v>1616</v>
      </c>
      <c r="H37" s="10" t="s">
        <v>1617</v>
      </c>
    </row>
    <row r="38" spans="1:8" ht="32" customHeight="1">
      <c r="A38" s="10" t="s">
        <v>1612</v>
      </c>
      <c r="B38" s="10" t="s">
        <v>13</v>
      </c>
      <c r="C38" s="10" t="s">
        <v>630</v>
      </c>
      <c r="D38" s="9">
        <v>4</v>
      </c>
      <c r="E38" s="10" t="s">
        <v>1615</v>
      </c>
      <c r="F38" s="9">
        <v>4</v>
      </c>
      <c r="G38" s="10" t="s">
        <v>1616</v>
      </c>
      <c r="H38" s="10" t="s">
        <v>1617</v>
      </c>
    </row>
    <row r="39" spans="1:8" ht="32" customHeight="1">
      <c r="A39" s="10" t="s">
        <v>1612</v>
      </c>
      <c r="B39" s="10" t="s">
        <v>13</v>
      </c>
      <c r="C39" s="10" t="s">
        <v>77</v>
      </c>
      <c r="D39" s="9">
        <v>12</v>
      </c>
      <c r="E39" s="10" t="s">
        <v>1615</v>
      </c>
      <c r="F39" s="9">
        <v>12</v>
      </c>
      <c r="G39" s="10" t="s">
        <v>1616</v>
      </c>
      <c r="H39" s="10" t="s">
        <v>1617</v>
      </c>
    </row>
    <row r="40" spans="1:8" ht="32" customHeight="1">
      <c r="A40" s="10" t="s">
        <v>1612</v>
      </c>
      <c r="B40" s="10" t="s">
        <v>13</v>
      </c>
      <c r="C40" s="10" t="s">
        <v>235</v>
      </c>
      <c r="D40" s="9">
        <v>8</v>
      </c>
      <c r="E40" s="10" t="s">
        <v>1615</v>
      </c>
      <c r="F40" s="9">
        <v>8</v>
      </c>
      <c r="G40" s="10" t="s">
        <v>1616</v>
      </c>
      <c r="H40" s="10" t="s">
        <v>1617</v>
      </c>
    </row>
    <row r="41" spans="1:8" ht="32" customHeight="1">
      <c r="A41" s="10" t="s">
        <v>1612</v>
      </c>
      <c r="B41" s="10" t="s">
        <v>13</v>
      </c>
      <c r="C41" s="10" t="s">
        <v>327</v>
      </c>
      <c r="D41" s="9">
        <v>5</v>
      </c>
      <c r="E41" s="10" t="s">
        <v>1615</v>
      </c>
      <c r="F41" s="9">
        <v>5</v>
      </c>
      <c r="G41" s="10" t="s">
        <v>1616</v>
      </c>
      <c r="H41" s="10" t="s">
        <v>1617</v>
      </c>
    </row>
    <row r="42" spans="1:8" ht="32" customHeight="1">
      <c r="A42" s="10" t="s">
        <v>1612</v>
      </c>
      <c r="B42" s="10" t="s">
        <v>13</v>
      </c>
      <c r="C42" s="10" t="s">
        <v>515</v>
      </c>
      <c r="D42" s="9">
        <v>4</v>
      </c>
      <c r="E42" s="10" t="s">
        <v>1615</v>
      </c>
      <c r="F42" s="9">
        <v>4</v>
      </c>
      <c r="G42" s="10" t="s">
        <v>1616</v>
      </c>
      <c r="H42" s="10" t="s">
        <v>1617</v>
      </c>
    </row>
    <row r="43" spans="1:8" ht="32" customHeight="1">
      <c r="A43" s="10" t="s">
        <v>1612</v>
      </c>
      <c r="B43" s="10" t="s">
        <v>13</v>
      </c>
      <c r="C43" s="10" t="s">
        <v>619</v>
      </c>
      <c r="D43" s="9">
        <v>4</v>
      </c>
      <c r="E43" s="10" t="s">
        <v>1615</v>
      </c>
      <c r="F43" s="9">
        <v>4</v>
      </c>
      <c r="G43" s="10" t="s">
        <v>1616</v>
      </c>
      <c r="H43" s="10" t="s">
        <v>1617</v>
      </c>
    </row>
    <row r="44" spans="1:8" ht="32" customHeight="1">
      <c r="A44" s="10" t="s">
        <v>1612</v>
      </c>
      <c r="B44" s="10" t="s">
        <v>13</v>
      </c>
      <c r="C44" s="10" t="s">
        <v>240</v>
      </c>
      <c r="D44" s="9">
        <v>4</v>
      </c>
      <c r="E44" s="10" t="s">
        <v>1615</v>
      </c>
      <c r="F44" s="9">
        <v>4</v>
      </c>
      <c r="G44" s="10" t="s">
        <v>1616</v>
      </c>
      <c r="H44" s="10" t="s">
        <v>1617</v>
      </c>
    </row>
    <row r="45" spans="1:8" ht="32" customHeight="1">
      <c r="A45" s="10" t="s">
        <v>1612</v>
      </c>
      <c r="B45" s="10" t="s">
        <v>13</v>
      </c>
      <c r="C45" s="10" t="s">
        <v>888</v>
      </c>
      <c r="D45" s="9">
        <v>2</v>
      </c>
      <c r="E45" s="10" t="s">
        <v>1615</v>
      </c>
      <c r="F45" s="9">
        <v>2</v>
      </c>
      <c r="G45" s="10" t="s">
        <v>1616</v>
      </c>
      <c r="H45" s="10" t="s">
        <v>1617</v>
      </c>
    </row>
    <row r="46" spans="1:8" ht="32" customHeight="1">
      <c r="A46" s="10" t="s">
        <v>1612</v>
      </c>
      <c r="B46" s="10" t="s">
        <v>13</v>
      </c>
      <c r="C46" s="10" t="s">
        <v>206</v>
      </c>
      <c r="D46" s="9">
        <v>7</v>
      </c>
      <c r="E46" s="10" t="s">
        <v>1615</v>
      </c>
      <c r="F46" s="9">
        <v>7</v>
      </c>
      <c r="G46" s="10" t="s">
        <v>1616</v>
      </c>
      <c r="H46" s="10" t="s">
        <v>1617</v>
      </c>
    </row>
    <row r="47" spans="1:8" ht="32" customHeight="1">
      <c r="A47" s="10" t="s">
        <v>1612</v>
      </c>
      <c r="B47" s="10" t="s">
        <v>13</v>
      </c>
      <c r="C47" s="10" t="s">
        <v>65</v>
      </c>
      <c r="D47" s="9">
        <v>5</v>
      </c>
      <c r="E47" s="10" t="s">
        <v>1615</v>
      </c>
      <c r="F47" s="9">
        <v>5</v>
      </c>
      <c r="G47" s="10" t="s">
        <v>1616</v>
      </c>
      <c r="H47" s="10" t="s">
        <v>1617</v>
      </c>
    </row>
    <row r="48" spans="1:8" ht="32" customHeight="1">
      <c r="A48" s="10" t="s">
        <v>1612</v>
      </c>
      <c r="B48" s="10" t="s">
        <v>13</v>
      </c>
      <c r="C48" s="10" t="s">
        <v>143</v>
      </c>
      <c r="D48" s="9">
        <v>13</v>
      </c>
      <c r="E48" s="10" t="s">
        <v>1615</v>
      </c>
      <c r="F48" s="9">
        <v>13</v>
      </c>
      <c r="G48" s="10" t="s">
        <v>1616</v>
      </c>
      <c r="H48" s="10" t="s">
        <v>1617</v>
      </c>
    </row>
    <row r="49" spans="1:8" ht="32" customHeight="1">
      <c r="A49" s="10" t="s">
        <v>1612</v>
      </c>
      <c r="B49" s="10" t="s">
        <v>13</v>
      </c>
      <c r="C49" s="10" t="s">
        <v>692</v>
      </c>
      <c r="D49" s="9">
        <v>1</v>
      </c>
      <c r="E49" s="10" t="s">
        <v>1615</v>
      </c>
      <c r="F49" s="9">
        <v>1</v>
      </c>
      <c r="G49" s="10" t="s">
        <v>1616</v>
      </c>
      <c r="H49" s="10" t="s">
        <v>1617</v>
      </c>
    </row>
    <row r="50" spans="1:8" ht="32" customHeight="1">
      <c r="A50" s="10" t="s">
        <v>1612</v>
      </c>
      <c r="B50" s="10" t="s">
        <v>13</v>
      </c>
      <c r="C50" s="10" t="s">
        <v>47</v>
      </c>
      <c r="D50" s="9">
        <v>12</v>
      </c>
      <c r="E50" s="10" t="s">
        <v>1615</v>
      </c>
      <c r="F50" s="9">
        <v>12</v>
      </c>
      <c r="G50" s="10" t="s">
        <v>1616</v>
      </c>
      <c r="H50" s="10" t="s">
        <v>1617</v>
      </c>
    </row>
    <row r="51" spans="1:8" ht="32" customHeight="1">
      <c r="A51" s="10" t="s">
        <v>1612</v>
      </c>
      <c r="B51" s="10" t="s">
        <v>13</v>
      </c>
      <c r="C51" s="10" t="s">
        <v>190</v>
      </c>
      <c r="D51" s="9">
        <v>9</v>
      </c>
      <c r="E51" s="10" t="s">
        <v>1615</v>
      </c>
      <c r="F51" s="9">
        <v>9</v>
      </c>
      <c r="G51" s="10" t="s">
        <v>1616</v>
      </c>
      <c r="H51" s="10" t="s">
        <v>1617</v>
      </c>
    </row>
    <row r="52" spans="1:8" ht="32" customHeight="1">
      <c r="A52" s="10" t="s">
        <v>1612</v>
      </c>
      <c r="B52" s="10" t="s">
        <v>13</v>
      </c>
      <c r="C52" s="10" t="s">
        <v>296</v>
      </c>
      <c r="D52" s="9">
        <v>10</v>
      </c>
      <c r="E52" s="10" t="s">
        <v>1615</v>
      </c>
      <c r="F52" s="9">
        <v>10</v>
      </c>
      <c r="G52" s="10" t="s">
        <v>1616</v>
      </c>
      <c r="H52" s="10" t="s">
        <v>1617</v>
      </c>
    </row>
    <row r="53" spans="1:8" ht="32" customHeight="1">
      <c r="A53" s="10" t="s">
        <v>1612</v>
      </c>
      <c r="B53" s="10" t="s">
        <v>13</v>
      </c>
      <c r="C53" s="10" t="s">
        <v>154</v>
      </c>
      <c r="D53" s="9">
        <v>5</v>
      </c>
      <c r="E53" s="10" t="s">
        <v>1615</v>
      </c>
      <c r="F53" s="9">
        <v>5</v>
      </c>
      <c r="G53" s="10" t="s">
        <v>1616</v>
      </c>
      <c r="H53" s="10" t="s">
        <v>1617</v>
      </c>
    </row>
    <row r="54" spans="1:8" ht="32" customHeight="1">
      <c r="A54" s="10" t="s">
        <v>1612</v>
      </c>
      <c r="B54" s="10" t="s">
        <v>13</v>
      </c>
      <c r="C54" s="10" t="s">
        <v>119</v>
      </c>
      <c r="D54" s="9">
        <v>6</v>
      </c>
      <c r="E54" s="10" t="s">
        <v>1615</v>
      </c>
      <c r="F54" s="9">
        <v>6</v>
      </c>
      <c r="G54" s="10" t="s">
        <v>1616</v>
      </c>
      <c r="H54" s="10" t="s">
        <v>1617</v>
      </c>
    </row>
    <row r="55" spans="1:8" ht="32" customHeight="1">
      <c r="A55" s="10" t="s">
        <v>1612</v>
      </c>
      <c r="B55" s="10" t="s">
        <v>13</v>
      </c>
      <c r="C55" s="10" t="s">
        <v>27</v>
      </c>
      <c r="D55" s="9">
        <v>9</v>
      </c>
      <c r="E55" s="10" t="s">
        <v>1615</v>
      </c>
      <c r="F55" s="9">
        <v>9</v>
      </c>
      <c r="G55" s="10" t="s">
        <v>1616</v>
      </c>
      <c r="H55" s="10" t="s">
        <v>1617</v>
      </c>
    </row>
    <row r="56" spans="1:8" ht="32" customHeight="1">
      <c r="A56" s="10" t="s">
        <v>1612</v>
      </c>
      <c r="B56" s="10" t="s">
        <v>13</v>
      </c>
      <c r="C56" s="10" t="s">
        <v>726</v>
      </c>
      <c r="D56" s="9">
        <v>4</v>
      </c>
      <c r="E56" s="10" t="s">
        <v>1615</v>
      </c>
      <c r="F56" s="9">
        <v>4</v>
      </c>
      <c r="G56" s="10" t="s">
        <v>1616</v>
      </c>
      <c r="H56" s="10" t="s">
        <v>1617</v>
      </c>
    </row>
    <row r="57" spans="1:8" ht="32" customHeight="1">
      <c r="A57" s="10" t="s">
        <v>1612</v>
      </c>
      <c r="B57" s="10" t="s">
        <v>13</v>
      </c>
      <c r="C57" s="10" t="s">
        <v>350</v>
      </c>
      <c r="D57" s="9">
        <v>9</v>
      </c>
      <c r="E57" s="10" t="s">
        <v>1615</v>
      </c>
      <c r="F57" s="9">
        <v>9</v>
      </c>
      <c r="G57" s="10" t="s">
        <v>1616</v>
      </c>
      <c r="H57" s="10" t="s">
        <v>1617</v>
      </c>
    </row>
    <row r="58" spans="1:8" ht="32" customHeight="1">
      <c r="A58" s="10" t="s">
        <v>1612</v>
      </c>
      <c r="B58" s="10" t="s">
        <v>13</v>
      </c>
      <c r="C58" s="10" t="s">
        <v>149</v>
      </c>
      <c r="D58" s="9">
        <v>6</v>
      </c>
      <c r="E58" s="10" t="s">
        <v>1615</v>
      </c>
      <c r="F58" s="9">
        <v>6</v>
      </c>
      <c r="G58" s="10" t="s">
        <v>1616</v>
      </c>
      <c r="H58" s="10" t="s">
        <v>1617</v>
      </c>
    </row>
    <row r="59" spans="1:8" ht="32" customHeight="1">
      <c r="A59" s="10" t="s">
        <v>1612</v>
      </c>
      <c r="B59" s="10" t="s">
        <v>13</v>
      </c>
      <c r="C59" s="10" t="s">
        <v>137</v>
      </c>
      <c r="D59" s="9">
        <v>11</v>
      </c>
      <c r="E59" s="10" t="s">
        <v>1615</v>
      </c>
      <c r="F59" s="9">
        <v>11</v>
      </c>
      <c r="G59" s="10" t="s">
        <v>1616</v>
      </c>
      <c r="H59" s="10" t="s">
        <v>1617</v>
      </c>
    </row>
    <row r="60" spans="1:8" ht="32" customHeight="1">
      <c r="A60" s="10" t="s">
        <v>1612</v>
      </c>
      <c r="B60" s="10" t="s">
        <v>13</v>
      </c>
      <c r="C60" s="10" t="s">
        <v>196</v>
      </c>
      <c r="D60" s="9">
        <v>10</v>
      </c>
      <c r="E60" s="10" t="s">
        <v>1615</v>
      </c>
      <c r="F60" s="9">
        <v>10</v>
      </c>
      <c r="G60" s="10" t="s">
        <v>1616</v>
      </c>
      <c r="H60" s="10" t="s">
        <v>1617</v>
      </c>
    </row>
    <row r="61" spans="1:8" ht="32" customHeight="1">
      <c r="A61" s="10" t="s">
        <v>1612</v>
      </c>
      <c r="B61" s="10" t="s">
        <v>13</v>
      </c>
      <c r="C61" s="10" t="s">
        <v>101</v>
      </c>
      <c r="D61" s="9">
        <v>4</v>
      </c>
      <c r="E61" s="10" t="s">
        <v>1615</v>
      </c>
      <c r="F61" s="9">
        <v>4</v>
      </c>
      <c r="G61" s="10" t="s">
        <v>1616</v>
      </c>
      <c r="H61" s="10" t="s">
        <v>1617</v>
      </c>
    </row>
    <row r="62" spans="1:8" ht="32" customHeight="1">
      <c r="A62" s="10" t="s">
        <v>1612</v>
      </c>
      <c r="B62" s="10" t="s">
        <v>13</v>
      </c>
      <c r="C62" s="10" t="s">
        <v>280</v>
      </c>
      <c r="D62" s="9">
        <v>9</v>
      </c>
      <c r="E62" s="10" t="s">
        <v>1615</v>
      </c>
      <c r="F62" s="9">
        <v>9</v>
      </c>
      <c r="G62" s="10" t="s">
        <v>1616</v>
      </c>
      <c r="H62" s="10" t="s">
        <v>1617</v>
      </c>
    </row>
    <row r="63" spans="1:8" ht="32" customHeight="1">
      <c r="A63" s="10" t="s">
        <v>1612</v>
      </c>
      <c r="B63" s="10" t="s">
        <v>13</v>
      </c>
      <c r="C63" s="10" t="s">
        <v>271</v>
      </c>
      <c r="D63" s="9">
        <v>1</v>
      </c>
      <c r="E63" s="10" t="s">
        <v>1615</v>
      </c>
      <c r="F63" s="9">
        <v>1</v>
      </c>
      <c r="G63" s="10" t="s">
        <v>1616</v>
      </c>
      <c r="H63" s="10" t="s">
        <v>1617</v>
      </c>
    </row>
    <row r="64" spans="1:8" ht="32" customHeight="1">
      <c r="A64" s="10" t="s">
        <v>1612</v>
      </c>
      <c r="B64" s="10" t="s">
        <v>13</v>
      </c>
      <c r="C64" s="10" t="s">
        <v>340</v>
      </c>
      <c r="D64" s="9">
        <v>9</v>
      </c>
      <c r="E64" s="10" t="s">
        <v>1615</v>
      </c>
      <c r="F64" s="9">
        <v>9</v>
      </c>
      <c r="G64" s="10" t="s">
        <v>1616</v>
      </c>
      <c r="H64" s="10" t="s">
        <v>1617</v>
      </c>
    </row>
    <row r="65" spans="1:8" ht="32" customHeight="1">
      <c r="A65" s="10" t="s">
        <v>1612</v>
      </c>
      <c r="B65" s="10" t="s">
        <v>13</v>
      </c>
      <c r="C65" s="10" t="s">
        <v>95</v>
      </c>
      <c r="D65" s="9">
        <v>12</v>
      </c>
      <c r="E65" s="10" t="s">
        <v>1615</v>
      </c>
      <c r="F65" s="9">
        <v>12</v>
      </c>
      <c r="G65" s="10" t="s">
        <v>1616</v>
      </c>
      <c r="H65" s="10" t="s">
        <v>1617</v>
      </c>
    </row>
    <row r="66" spans="1:8" ht="32" customHeight="1">
      <c r="A66" s="10" t="s">
        <v>1612</v>
      </c>
      <c r="B66" s="10" t="s">
        <v>13</v>
      </c>
      <c r="C66" s="10" t="s">
        <v>803</v>
      </c>
      <c r="D66" s="9">
        <v>5</v>
      </c>
      <c r="E66" s="10" t="s">
        <v>1615</v>
      </c>
      <c r="F66" s="9">
        <v>5</v>
      </c>
      <c r="G66" s="10" t="s">
        <v>1616</v>
      </c>
      <c r="H66" s="10" t="s">
        <v>1617</v>
      </c>
    </row>
    <row r="67" spans="1:8" ht="32" customHeight="1">
      <c r="A67" s="10" t="s">
        <v>1612</v>
      </c>
      <c r="B67" s="10" t="s">
        <v>13</v>
      </c>
      <c r="C67" s="10" t="s">
        <v>89</v>
      </c>
      <c r="D67" s="9">
        <v>9</v>
      </c>
      <c r="E67" s="10" t="s">
        <v>1615</v>
      </c>
      <c r="F67" s="9">
        <v>9</v>
      </c>
      <c r="G67" s="10" t="s">
        <v>1616</v>
      </c>
      <c r="H67" s="10" t="s">
        <v>1617</v>
      </c>
    </row>
    <row r="68" spans="1:8" ht="32" customHeight="1">
      <c r="A68" s="10" t="s">
        <v>1612</v>
      </c>
      <c r="B68" s="10" t="s">
        <v>13</v>
      </c>
      <c r="C68" s="10" t="s">
        <v>71</v>
      </c>
      <c r="D68" s="9">
        <v>5</v>
      </c>
      <c r="E68" s="10" t="s">
        <v>1615</v>
      </c>
      <c r="F68" s="9">
        <v>5</v>
      </c>
      <c r="G68" s="10" t="s">
        <v>1616</v>
      </c>
      <c r="H68" s="10" t="s">
        <v>1617</v>
      </c>
    </row>
    <row r="69" spans="1:8" ht="32" customHeight="1">
      <c r="A69" s="10" t="s">
        <v>1612</v>
      </c>
      <c r="B69" s="10" t="s">
        <v>13</v>
      </c>
      <c r="C69" s="10" t="s">
        <v>107</v>
      </c>
      <c r="D69" s="9">
        <v>7</v>
      </c>
      <c r="E69" s="10" t="s">
        <v>1615</v>
      </c>
      <c r="F69" s="9">
        <v>7</v>
      </c>
      <c r="G69" s="10" t="s">
        <v>1616</v>
      </c>
      <c r="H69" s="10" t="s">
        <v>1617</v>
      </c>
    </row>
    <row r="70" spans="1:8" ht="32" customHeight="1">
      <c r="A70" s="10" t="s">
        <v>1612</v>
      </c>
      <c r="B70" s="10" t="s">
        <v>13</v>
      </c>
      <c r="C70" s="10" t="s">
        <v>361</v>
      </c>
      <c r="D70" s="9">
        <v>3</v>
      </c>
      <c r="E70" s="10" t="s">
        <v>1615</v>
      </c>
      <c r="F70" s="9">
        <v>3</v>
      </c>
      <c r="G70" s="10" t="s">
        <v>1616</v>
      </c>
      <c r="H70" s="10" t="s">
        <v>1617</v>
      </c>
    </row>
    <row r="71" spans="1:8" ht="32" customHeight="1">
      <c r="A71" s="10" t="s">
        <v>1612</v>
      </c>
      <c r="B71" s="10" t="s">
        <v>13</v>
      </c>
      <c r="C71" s="10" t="s">
        <v>529</v>
      </c>
      <c r="D71" s="9">
        <v>3</v>
      </c>
      <c r="E71" s="10" t="s">
        <v>1615</v>
      </c>
      <c r="F71" s="9">
        <v>3</v>
      </c>
      <c r="G71" s="10" t="s">
        <v>1616</v>
      </c>
      <c r="H71" s="10" t="s">
        <v>1617</v>
      </c>
    </row>
    <row r="72" spans="1:8" ht="32" customHeight="1">
      <c r="A72" s="10" t="s">
        <v>1612</v>
      </c>
      <c r="B72" s="10" t="s">
        <v>13</v>
      </c>
      <c r="C72" s="10" t="s">
        <v>496</v>
      </c>
      <c r="D72" s="9">
        <v>6</v>
      </c>
      <c r="E72" s="10" t="s">
        <v>1615</v>
      </c>
      <c r="F72" s="9">
        <v>6</v>
      </c>
      <c r="G72" s="10" t="s">
        <v>1616</v>
      </c>
      <c r="H72" s="10" t="s">
        <v>1617</v>
      </c>
    </row>
    <row r="73" spans="1:8" ht="32" customHeight="1">
      <c r="A73" s="10" t="s">
        <v>1612</v>
      </c>
      <c r="B73" s="10" t="s">
        <v>13</v>
      </c>
      <c r="C73" s="10" t="s">
        <v>184</v>
      </c>
      <c r="D73" s="9">
        <v>5</v>
      </c>
      <c r="E73" s="10" t="s">
        <v>1615</v>
      </c>
      <c r="F73" s="9">
        <v>5</v>
      </c>
      <c r="G73" s="10" t="s">
        <v>1616</v>
      </c>
      <c r="H73" s="10" t="s">
        <v>1617</v>
      </c>
    </row>
    <row r="74" spans="1:8" ht="32" customHeight="1">
      <c r="A74" s="10" t="s">
        <v>1612</v>
      </c>
      <c r="B74" s="10" t="s">
        <v>13</v>
      </c>
      <c r="C74" s="10" t="s">
        <v>415</v>
      </c>
      <c r="D74" s="9">
        <v>6</v>
      </c>
      <c r="E74" s="10" t="s">
        <v>1615</v>
      </c>
      <c r="F74" s="9">
        <v>6</v>
      </c>
      <c r="G74" s="10" t="s">
        <v>1616</v>
      </c>
      <c r="H74" s="10" t="s">
        <v>1617</v>
      </c>
    </row>
    <row r="75" spans="1:8" ht="32" customHeight="1">
      <c r="A75" s="10" t="s">
        <v>1612</v>
      </c>
      <c r="B75" s="10" t="s">
        <v>13</v>
      </c>
      <c r="C75" s="10" t="s">
        <v>125</v>
      </c>
      <c r="D75" s="9">
        <v>4</v>
      </c>
      <c r="E75" s="10" t="s">
        <v>1615</v>
      </c>
      <c r="F75" s="9">
        <v>4</v>
      </c>
      <c r="G75" s="10" t="s">
        <v>1616</v>
      </c>
      <c r="H75" s="10" t="s">
        <v>1617</v>
      </c>
    </row>
    <row r="76" spans="1:8" ht="32" customHeight="1">
      <c r="A76" s="10" t="s">
        <v>1612</v>
      </c>
      <c r="B76" s="10" t="s">
        <v>13</v>
      </c>
      <c r="C76" s="10" t="s">
        <v>113</v>
      </c>
      <c r="D76" s="9">
        <v>11</v>
      </c>
      <c r="E76" s="10" t="s">
        <v>1615</v>
      </c>
      <c r="F76" s="9">
        <v>11</v>
      </c>
      <c r="G76" s="10" t="s">
        <v>1616</v>
      </c>
      <c r="H76" s="10" t="s">
        <v>1617</v>
      </c>
    </row>
    <row r="77" spans="1:8" ht="32" customHeight="1">
      <c r="A77" s="10" t="s">
        <v>1612</v>
      </c>
      <c r="B77" s="10" t="s">
        <v>13</v>
      </c>
      <c r="C77" s="10" t="s">
        <v>826</v>
      </c>
      <c r="D77" s="9">
        <v>3</v>
      </c>
      <c r="E77" s="10" t="s">
        <v>1615</v>
      </c>
      <c r="F77" s="9">
        <v>3</v>
      </c>
      <c r="G77" s="10" t="s">
        <v>1616</v>
      </c>
      <c r="H77" s="10" t="s">
        <v>1617</v>
      </c>
    </row>
    <row r="78" spans="1:8" ht="32" customHeight="1">
      <c r="A78" s="10" t="s">
        <v>1612</v>
      </c>
      <c r="B78" s="10" t="s">
        <v>13</v>
      </c>
      <c r="C78" s="10" t="s">
        <v>386</v>
      </c>
      <c r="D78" s="9">
        <v>13</v>
      </c>
      <c r="E78" s="10" t="s">
        <v>1615</v>
      </c>
      <c r="F78" s="9">
        <v>13</v>
      </c>
      <c r="G78" s="10" t="s">
        <v>1616</v>
      </c>
      <c r="H78" s="10" t="s">
        <v>1617</v>
      </c>
    </row>
    <row r="79" spans="1:8" ht="32" customHeight="1">
      <c r="A79" s="10" t="s">
        <v>1612</v>
      </c>
      <c r="B79" s="10" t="s">
        <v>13</v>
      </c>
      <c r="C79" s="10" t="s">
        <v>162</v>
      </c>
      <c r="D79" s="9">
        <v>12</v>
      </c>
      <c r="E79" s="10" t="s">
        <v>1615</v>
      </c>
      <c r="F79" s="9">
        <v>12</v>
      </c>
      <c r="G79" s="10" t="s">
        <v>1616</v>
      </c>
      <c r="H79" s="10" t="s">
        <v>1617</v>
      </c>
    </row>
    <row r="80" spans="1:8" ht="32" customHeight="1">
      <c r="A80" s="10" t="s">
        <v>1612</v>
      </c>
      <c r="B80" s="10" t="s">
        <v>13</v>
      </c>
      <c r="C80" s="10" t="s">
        <v>605</v>
      </c>
      <c r="D80" s="9">
        <v>6</v>
      </c>
      <c r="E80" s="10" t="s">
        <v>1615</v>
      </c>
      <c r="F80" s="9">
        <v>6</v>
      </c>
      <c r="G80" s="10" t="s">
        <v>1616</v>
      </c>
      <c r="H80" s="10" t="s">
        <v>1617</v>
      </c>
    </row>
    <row r="81" spans="1:8" ht="32" customHeight="1">
      <c r="A81" s="10" t="s">
        <v>1612</v>
      </c>
      <c r="B81" s="10" t="s">
        <v>13</v>
      </c>
      <c r="C81" s="10" t="s">
        <v>59</v>
      </c>
      <c r="D81" s="9">
        <v>4</v>
      </c>
      <c r="E81" s="10" t="s">
        <v>1615</v>
      </c>
      <c r="F81" s="9">
        <v>4</v>
      </c>
      <c r="G81" s="10" t="s">
        <v>1616</v>
      </c>
      <c r="H81" s="10" t="s">
        <v>1617</v>
      </c>
    </row>
    <row r="82" spans="1:8" ht="32" customHeight="1">
      <c r="A82" s="10" t="s">
        <v>1612</v>
      </c>
      <c r="B82" s="10" t="s">
        <v>13</v>
      </c>
      <c r="C82" s="10" t="s">
        <v>261</v>
      </c>
      <c r="D82" s="9">
        <v>6</v>
      </c>
      <c r="E82" s="10" t="s">
        <v>1615</v>
      </c>
      <c r="F82" s="9">
        <v>6</v>
      </c>
      <c r="G82" s="10" t="s">
        <v>1616</v>
      </c>
      <c r="H82" s="10" t="s">
        <v>1617</v>
      </c>
    </row>
    <row r="83" spans="1:8" ht="32" customHeight="1">
      <c r="A83" s="10" t="s">
        <v>1612</v>
      </c>
      <c r="B83" s="10" t="s">
        <v>13</v>
      </c>
      <c r="C83" s="10" t="s">
        <v>221</v>
      </c>
      <c r="D83" s="9">
        <v>4</v>
      </c>
      <c r="E83" s="10" t="s">
        <v>1615</v>
      </c>
      <c r="F83" s="9">
        <v>4</v>
      </c>
      <c r="G83" s="10" t="s">
        <v>1616</v>
      </c>
      <c r="H83" s="10" t="s">
        <v>1617</v>
      </c>
    </row>
    <row r="84" spans="1:8" ht="32" customHeight="1">
      <c r="A84" s="10" t="s">
        <v>1612</v>
      </c>
      <c r="B84" s="10" t="s">
        <v>13</v>
      </c>
      <c r="C84" s="10" t="s">
        <v>83</v>
      </c>
      <c r="D84" s="9">
        <v>9</v>
      </c>
      <c r="E84" s="10" t="s">
        <v>1615</v>
      </c>
      <c r="F84" s="9">
        <v>9</v>
      </c>
      <c r="G84" s="10" t="s">
        <v>1616</v>
      </c>
      <c r="H84" s="10" t="s">
        <v>1617</v>
      </c>
    </row>
    <row r="85" spans="1:8" ht="32" customHeight="1">
      <c r="A85" s="10" t="s">
        <v>1612</v>
      </c>
      <c r="B85" s="10" t="s">
        <v>13</v>
      </c>
      <c r="C85" s="10" t="s">
        <v>53</v>
      </c>
      <c r="D85" s="9">
        <v>6</v>
      </c>
      <c r="E85" s="10" t="s">
        <v>1615</v>
      </c>
      <c r="F85" s="9">
        <v>6</v>
      </c>
      <c r="G85" s="10" t="s">
        <v>1616</v>
      </c>
      <c r="H85" s="10" t="s">
        <v>1617</v>
      </c>
    </row>
    <row r="86" spans="1:8" ht="32" customHeight="1">
      <c r="A86" s="10" t="s">
        <v>1612</v>
      </c>
      <c r="B86" s="10" t="s">
        <v>13</v>
      </c>
      <c r="C86" s="10" t="s">
        <v>41</v>
      </c>
      <c r="D86" s="9">
        <v>2</v>
      </c>
      <c r="E86" s="10" t="s">
        <v>1615</v>
      </c>
      <c r="F86" s="9">
        <v>2</v>
      </c>
      <c r="G86" s="10" t="s">
        <v>1616</v>
      </c>
      <c r="H86" s="10" t="s">
        <v>1617</v>
      </c>
    </row>
    <row r="87" spans="1:8" ht="32" customHeight="1">
      <c r="A87" s="10" t="s">
        <v>1612</v>
      </c>
      <c r="B87" s="10" t="s">
        <v>13</v>
      </c>
      <c r="C87" s="10" t="s">
        <v>367</v>
      </c>
      <c r="D87" s="9">
        <v>5</v>
      </c>
      <c r="E87" s="10" t="s">
        <v>1615</v>
      </c>
      <c r="F87" s="9">
        <v>5</v>
      </c>
      <c r="G87" s="10" t="s">
        <v>1616</v>
      </c>
      <c r="H87" s="10" t="s">
        <v>1617</v>
      </c>
    </row>
    <row r="88" spans="1:8" ht="32" customHeight="1">
      <c r="A88" s="10" t="s">
        <v>1612</v>
      </c>
      <c r="B88" s="10" t="s">
        <v>1630</v>
      </c>
      <c r="C88" s="10" t="s">
        <v>1631</v>
      </c>
      <c r="D88" s="9">
        <v>12</v>
      </c>
      <c r="E88" s="10" t="s">
        <v>1615</v>
      </c>
      <c r="F88" s="9">
        <v>12</v>
      </c>
      <c r="G88" s="10" t="s">
        <v>1616</v>
      </c>
      <c r="H88" s="10" t="s">
        <v>1617</v>
      </c>
    </row>
    <row r="89" spans="1:8" ht="32" customHeight="1">
      <c r="A89" s="10" t="s">
        <v>1612</v>
      </c>
      <c r="B89" s="10" t="s">
        <v>1630</v>
      </c>
      <c r="C89" s="10" t="s">
        <v>1632</v>
      </c>
      <c r="D89" s="9">
        <v>81</v>
      </c>
      <c r="E89" s="10" t="s">
        <v>1615</v>
      </c>
      <c r="F89" s="9">
        <v>81</v>
      </c>
      <c r="G89" s="10" t="s">
        <v>1616</v>
      </c>
      <c r="H89" s="10" t="s">
        <v>1617</v>
      </c>
    </row>
    <row r="90" spans="1:8" ht="32" customHeight="1">
      <c r="A90" s="10" t="s">
        <v>1612</v>
      </c>
      <c r="B90" s="10" t="s">
        <v>1630</v>
      </c>
      <c r="C90" s="10" t="s">
        <v>1633</v>
      </c>
      <c r="D90" s="9">
        <v>29</v>
      </c>
      <c r="E90" s="10" t="s">
        <v>1615</v>
      </c>
      <c r="F90" s="9">
        <v>29</v>
      </c>
      <c r="G90" s="10" t="s">
        <v>1616</v>
      </c>
      <c r="H90" s="10" t="s">
        <v>1617</v>
      </c>
    </row>
    <row r="91" spans="1:8" ht="32" customHeight="1">
      <c r="A91" s="10" t="s">
        <v>1612</v>
      </c>
      <c r="B91" s="10" t="s">
        <v>1630</v>
      </c>
      <c r="C91" s="10" t="s">
        <v>1634</v>
      </c>
      <c r="D91" s="9">
        <v>6</v>
      </c>
      <c r="E91" s="10" t="s">
        <v>1615</v>
      </c>
      <c r="F91" s="9">
        <v>6</v>
      </c>
      <c r="G91" s="10" t="s">
        <v>1616</v>
      </c>
      <c r="H91" s="10" t="s">
        <v>1617</v>
      </c>
    </row>
    <row r="92" spans="1:8" ht="32" customHeight="1">
      <c r="A92" s="10" t="s">
        <v>1612</v>
      </c>
      <c r="B92" s="10" t="s">
        <v>1630</v>
      </c>
      <c r="C92" s="10" t="s">
        <v>1635</v>
      </c>
      <c r="D92" s="9">
        <v>83</v>
      </c>
      <c r="E92" s="10" t="s">
        <v>1615</v>
      </c>
      <c r="F92" s="9">
        <v>83</v>
      </c>
      <c r="G92" s="10" t="s">
        <v>1616</v>
      </c>
      <c r="H92" s="10" t="s">
        <v>1617</v>
      </c>
    </row>
    <row r="93" spans="1:8" ht="32" customHeight="1">
      <c r="A93" s="10" t="s">
        <v>1612</v>
      </c>
      <c r="B93" s="10" t="s">
        <v>1630</v>
      </c>
      <c r="C93" s="10" t="s">
        <v>1636</v>
      </c>
      <c r="D93" s="9">
        <v>2</v>
      </c>
      <c r="E93" s="10" t="s">
        <v>1615</v>
      </c>
      <c r="F93" s="9">
        <v>2</v>
      </c>
      <c r="G93" s="10" t="s">
        <v>1616</v>
      </c>
      <c r="H93" s="10" t="s">
        <v>1617</v>
      </c>
    </row>
    <row r="94" spans="1:8" ht="32" customHeight="1">
      <c r="A94" s="10" t="s">
        <v>1612</v>
      </c>
      <c r="B94" s="10" t="s">
        <v>1630</v>
      </c>
      <c r="C94" s="10" t="s">
        <v>1637</v>
      </c>
      <c r="D94" s="9">
        <v>7</v>
      </c>
      <c r="E94" s="10" t="s">
        <v>1615</v>
      </c>
      <c r="F94" s="9">
        <v>7</v>
      </c>
      <c r="G94" s="10" t="s">
        <v>1616</v>
      </c>
      <c r="H94" s="10" t="s">
        <v>1617</v>
      </c>
    </row>
    <row r="95" spans="1:8" ht="32" customHeight="1">
      <c r="A95" s="10" t="s">
        <v>1612</v>
      </c>
      <c r="B95" s="10" t="s">
        <v>1630</v>
      </c>
      <c r="C95" s="10" t="s">
        <v>1638</v>
      </c>
      <c r="D95" s="9">
        <v>17</v>
      </c>
      <c r="E95" s="10" t="s">
        <v>1615</v>
      </c>
      <c r="F95" s="9">
        <v>17</v>
      </c>
      <c r="G95" s="10" t="s">
        <v>1616</v>
      </c>
      <c r="H95" s="10" t="s">
        <v>1617</v>
      </c>
    </row>
    <row r="96" spans="1:8" ht="32" customHeight="1">
      <c r="A96" s="10" t="s">
        <v>1612</v>
      </c>
      <c r="B96" s="10" t="s">
        <v>1630</v>
      </c>
      <c r="C96" s="10" t="s">
        <v>1639</v>
      </c>
      <c r="D96" s="9">
        <v>12</v>
      </c>
      <c r="E96" s="10" t="s">
        <v>1615</v>
      </c>
      <c r="F96" s="9">
        <v>12</v>
      </c>
      <c r="G96" s="10" t="s">
        <v>1616</v>
      </c>
      <c r="H96" s="10" t="s">
        <v>1617</v>
      </c>
    </row>
    <row r="97" spans="1:8" ht="32" customHeight="1">
      <c r="A97" s="10" t="s">
        <v>1612</v>
      </c>
      <c r="B97" s="10" t="s">
        <v>1630</v>
      </c>
      <c r="C97" s="10" t="s">
        <v>1640</v>
      </c>
      <c r="D97" s="9">
        <v>6</v>
      </c>
      <c r="E97" s="10" t="s">
        <v>1615</v>
      </c>
      <c r="F97" s="9">
        <v>6</v>
      </c>
      <c r="G97" s="10" t="s">
        <v>1616</v>
      </c>
      <c r="H97" s="10" t="s">
        <v>1617</v>
      </c>
    </row>
    <row r="98" spans="1:8" ht="32" customHeight="1">
      <c r="A98" s="10" t="s">
        <v>1612</v>
      </c>
      <c r="B98" s="10" t="s">
        <v>1630</v>
      </c>
      <c r="C98" s="10" t="s">
        <v>1641</v>
      </c>
      <c r="D98" s="9">
        <v>1</v>
      </c>
      <c r="E98" s="10" t="s">
        <v>1615</v>
      </c>
      <c r="F98" s="9">
        <v>1</v>
      </c>
      <c r="G98" s="10" t="s">
        <v>1616</v>
      </c>
      <c r="H98" s="10" t="s">
        <v>1617</v>
      </c>
    </row>
    <row r="99" spans="1:8" ht="32" customHeight="1">
      <c r="A99" s="10" t="s">
        <v>1612</v>
      </c>
      <c r="B99" s="10" t="s">
        <v>1630</v>
      </c>
      <c r="C99" s="10" t="s">
        <v>1642</v>
      </c>
      <c r="D99" s="9">
        <v>2</v>
      </c>
      <c r="E99" s="10" t="s">
        <v>1615</v>
      </c>
      <c r="F99" s="9">
        <v>2</v>
      </c>
      <c r="G99" s="10" t="s">
        <v>1616</v>
      </c>
      <c r="H99" s="10" t="s">
        <v>1617</v>
      </c>
    </row>
    <row r="100" spans="1:8" ht="32" customHeight="1">
      <c r="A100" s="10" t="s">
        <v>1612</v>
      </c>
      <c r="B100" s="10" t="s">
        <v>1630</v>
      </c>
      <c r="C100" s="10" t="s">
        <v>1643</v>
      </c>
      <c r="D100" s="9">
        <v>84</v>
      </c>
      <c r="E100" s="10" t="s">
        <v>1615</v>
      </c>
      <c r="F100" s="9">
        <v>84</v>
      </c>
      <c r="G100" s="10" t="s">
        <v>1616</v>
      </c>
      <c r="H100" s="10" t="s">
        <v>1617</v>
      </c>
    </row>
    <row r="101" spans="1:8" ht="32" customHeight="1">
      <c r="A101" s="10" t="s">
        <v>1612</v>
      </c>
      <c r="B101" s="10" t="s">
        <v>1630</v>
      </c>
      <c r="C101" s="10" t="s">
        <v>1644</v>
      </c>
      <c r="D101" s="9">
        <v>9</v>
      </c>
      <c r="E101" s="10" t="s">
        <v>1615</v>
      </c>
      <c r="F101" s="9">
        <v>9</v>
      </c>
      <c r="G101" s="10" t="s">
        <v>1616</v>
      </c>
      <c r="H101" s="10" t="s">
        <v>1617</v>
      </c>
    </row>
    <row r="102" spans="1:8" ht="32" customHeight="1">
      <c r="A102" s="10" t="s">
        <v>1612</v>
      </c>
      <c r="B102" s="10" t="s">
        <v>1630</v>
      </c>
      <c r="C102" s="10" t="s">
        <v>1645</v>
      </c>
      <c r="D102" s="9">
        <v>3</v>
      </c>
      <c r="E102" s="10" t="s">
        <v>1615</v>
      </c>
      <c r="F102" s="9">
        <v>3</v>
      </c>
      <c r="G102" s="10" t="s">
        <v>1616</v>
      </c>
      <c r="H102" s="10" t="s">
        <v>1617</v>
      </c>
    </row>
    <row r="103" spans="1:8" ht="32" customHeight="1">
      <c r="A103" s="10" t="s">
        <v>1612</v>
      </c>
      <c r="B103" s="10" t="s">
        <v>1630</v>
      </c>
      <c r="C103" s="10" t="s">
        <v>1646</v>
      </c>
      <c r="D103" s="9">
        <v>2</v>
      </c>
      <c r="E103" s="10" t="s">
        <v>1615</v>
      </c>
      <c r="F103" s="9">
        <v>2</v>
      </c>
      <c r="G103" s="10" t="s">
        <v>1616</v>
      </c>
      <c r="H103" s="10" t="s">
        <v>1617</v>
      </c>
    </row>
    <row r="104" spans="1:8" ht="32" customHeight="1">
      <c r="A104" s="10" t="s">
        <v>1612</v>
      </c>
      <c r="B104" s="10" t="s">
        <v>1630</v>
      </c>
      <c r="C104" s="10" t="s">
        <v>1647</v>
      </c>
      <c r="D104" s="9">
        <v>18</v>
      </c>
      <c r="E104" s="10" t="s">
        <v>1615</v>
      </c>
      <c r="F104" s="9">
        <v>18</v>
      </c>
      <c r="G104" s="10" t="s">
        <v>1616</v>
      </c>
      <c r="H104" s="10" t="s">
        <v>1617</v>
      </c>
    </row>
    <row r="105" spans="1:8" ht="32" customHeight="1">
      <c r="A105" s="10" t="s">
        <v>1612</v>
      </c>
      <c r="B105" s="10" t="s">
        <v>1630</v>
      </c>
      <c r="C105" s="10" t="s">
        <v>1648</v>
      </c>
      <c r="D105" s="9">
        <v>3</v>
      </c>
      <c r="E105" s="10" t="s">
        <v>1615</v>
      </c>
      <c r="F105" s="9">
        <v>3</v>
      </c>
      <c r="G105" s="10" t="s">
        <v>1616</v>
      </c>
      <c r="H105" s="10" t="s">
        <v>1617</v>
      </c>
    </row>
    <row r="106" spans="1:8" ht="32" customHeight="1">
      <c r="A106" s="10" t="s">
        <v>1612</v>
      </c>
      <c r="B106" s="10" t="s">
        <v>1630</v>
      </c>
      <c r="C106" s="10" t="s">
        <v>1649</v>
      </c>
      <c r="D106" s="9">
        <v>1</v>
      </c>
      <c r="E106" s="10" t="s">
        <v>1615</v>
      </c>
      <c r="F106" s="9">
        <v>1</v>
      </c>
      <c r="G106" s="10" t="s">
        <v>1616</v>
      </c>
      <c r="H106" s="10" t="s">
        <v>1617</v>
      </c>
    </row>
    <row r="107" spans="1:8" ht="32" customHeight="1">
      <c r="A107" s="10" t="s">
        <v>1612</v>
      </c>
      <c r="B107" s="10" t="s">
        <v>1630</v>
      </c>
      <c r="C107" s="10" t="s">
        <v>1650</v>
      </c>
      <c r="D107" s="9">
        <v>6</v>
      </c>
      <c r="E107" s="10" t="s">
        <v>1615</v>
      </c>
      <c r="F107" s="9">
        <v>6</v>
      </c>
      <c r="G107" s="10" t="s">
        <v>1616</v>
      </c>
      <c r="H107" s="10" t="s">
        <v>1617</v>
      </c>
    </row>
    <row r="108" spans="1:8" ht="32" customHeight="1">
      <c r="A108" s="10" t="s">
        <v>1612</v>
      </c>
      <c r="B108" s="10" t="s">
        <v>1630</v>
      </c>
      <c r="C108" s="10" t="s">
        <v>1651</v>
      </c>
      <c r="D108" s="9">
        <v>56</v>
      </c>
      <c r="E108" s="10" t="s">
        <v>1615</v>
      </c>
      <c r="F108" s="9">
        <v>56</v>
      </c>
      <c r="G108" s="10" t="s">
        <v>1616</v>
      </c>
      <c r="H108" s="10" t="s">
        <v>1617</v>
      </c>
    </row>
    <row r="109" spans="1:8" ht="32" customHeight="1">
      <c r="A109" s="10" t="s">
        <v>1612</v>
      </c>
      <c r="B109" s="10" t="s">
        <v>1630</v>
      </c>
      <c r="C109" s="10" t="s">
        <v>1652</v>
      </c>
      <c r="D109" s="9">
        <v>7</v>
      </c>
      <c r="E109" s="10" t="s">
        <v>1615</v>
      </c>
      <c r="F109" s="9">
        <v>7</v>
      </c>
      <c r="G109" s="10" t="s">
        <v>1616</v>
      </c>
      <c r="H109" s="10" t="s">
        <v>1617</v>
      </c>
    </row>
    <row r="110" spans="1:8" ht="32" customHeight="1">
      <c r="A110" s="10" t="s">
        <v>1612</v>
      </c>
      <c r="B110" s="10" t="s">
        <v>1630</v>
      </c>
      <c r="C110" s="10" t="s">
        <v>1653</v>
      </c>
      <c r="D110" s="9">
        <v>23</v>
      </c>
      <c r="E110" s="10" t="s">
        <v>1615</v>
      </c>
      <c r="F110" s="9">
        <v>23</v>
      </c>
      <c r="G110" s="10" t="s">
        <v>1616</v>
      </c>
      <c r="H110" s="10" t="s">
        <v>1617</v>
      </c>
    </row>
    <row r="111" spans="1:8" ht="32" customHeight="1">
      <c r="A111" s="10" t="s">
        <v>1612</v>
      </c>
      <c r="B111" s="10" t="s">
        <v>1630</v>
      </c>
      <c r="C111" s="10" t="s">
        <v>1654</v>
      </c>
      <c r="D111" s="9">
        <v>8</v>
      </c>
      <c r="E111" s="10" t="s">
        <v>1615</v>
      </c>
      <c r="F111" s="9">
        <v>8</v>
      </c>
      <c r="G111" s="10" t="s">
        <v>1616</v>
      </c>
      <c r="H111" s="10" t="s">
        <v>1617</v>
      </c>
    </row>
    <row r="112" spans="1:8" ht="32" customHeight="1">
      <c r="A112" s="10" t="s">
        <v>1612</v>
      </c>
      <c r="B112" s="10" t="s">
        <v>1630</v>
      </c>
      <c r="C112" s="10" t="s">
        <v>1655</v>
      </c>
      <c r="D112" s="9">
        <v>3</v>
      </c>
      <c r="E112" s="10" t="s">
        <v>1615</v>
      </c>
      <c r="F112" s="9">
        <v>3</v>
      </c>
      <c r="G112" s="10" t="s">
        <v>1616</v>
      </c>
      <c r="H112" s="10" t="s">
        <v>1617</v>
      </c>
    </row>
    <row r="113" spans="1:8" ht="32" customHeight="1">
      <c r="A113" s="10" t="s">
        <v>1612</v>
      </c>
      <c r="B113" s="10" t="s">
        <v>1630</v>
      </c>
      <c r="C113" s="10" t="s">
        <v>1656</v>
      </c>
      <c r="D113" s="9">
        <v>59</v>
      </c>
      <c r="E113" s="10" t="s">
        <v>1615</v>
      </c>
      <c r="F113" s="9">
        <v>59</v>
      </c>
      <c r="G113" s="10" t="s">
        <v>1616</v>
      </c>
      <c r="H113" s="10" t="s">
        <v>1617</v>
      </c>
    </row>
    <row r="114" spans="1:8" ht="32" customHeight="1">
      <c r="A114" s="10" t="s">
        <v>1612</v>
      </c>
      <c r="B114" s="10" t="s">
        <v>1630</v>
      </c>
      <c r="C114" s="10" t="s">
        <v>1657</v>
      </c>
      <c r="D114" s="9">
        <v>15</v>
      </c>
      <c r="E114" s="10" t="s">
        <v>1615</v>
      </c>
      <c r="F114" s="9">
        <v>15</v>
      </c>
      <c r="G114" s="10" t="s">
        <v>1616</v>
      </c>
      <c r="H114" s="10" t="s">
        <v>1617</v>
      </c>
    </row>
    <row r="115" spans="1:8" ht="32" customHeight="1">
      <c r="A115" s="10" t="s">
        <v>1612</v>
      </c>
      <c r="B115" s="10" t="s">
        <v>1630</v>
      </c>
      <c r="C115" s="10" t="s">
        <v>1658</v>
      </c>
      <c r="D115" s="9">
        <v>1</v>
      </c>
      <c r="E115" s="10" t="s">
        <v>1615</v>
      </c>
      <c r="F115" s="9">
        <v>1</v>
      </c>
      <c r="G115" s="10" t="s">
        <v>1616</v>
      </c>
      <c r="H115" s="10" t="s">
        <v>1617</v>
      </c>
    </row>
    <row r="116" spans="1:8" ht="32" customHeight="1">
      <c r="A116" s="10" t="s">
        <v>1612</v>
      </c>
      <c r="B116" s="10" t="s">
        <v>1630</v>
      </c>
      <c r="C116" s="10" t="s">
        <v>1659</v>
      </c>
      <c r="D116" s="9">
        <v>9</v>
      </c>
      <c r="E116" s="10" t="s">
        <v>1615</v>
      </c>
      <c r="F116" s="9">
        <v>9</v>
      </c>
      <c r="G116" s="10" t="s">
        <v>1616</v>
      </c>
      <c r="H116" s="10" t="s">
        <v>1617</v>
      </c>
    </row>
    <row r="117" spans="1:8" ht="32" customHeight="1">
      <c r="A117" s="10" t="s">
        <v>1612</v>
      </c>
      <c r="B117" s="10" t="s">
        <v>1630</v>
      </c>
      <c r="C117" s="10" t="s">
        <v>1660</v>
      </c>
      <c r="D117" s="9">
        <v>47</v>
      </c>
      <c r="E117" s="10" t="s">
        <v>1615</v>
      </c>
      <c r="F117" s="9">
        <v>47</v>
      </c>
      <c r="G117" s="10" t="s">
        <v>1616</v>
      </c>
      <c r="H117" s="10" t="s">
        <v>1617</v>
      </c>
    </row>
    <row r="118" spans="1:8" ht="32" customHeight="1">
      <c r="A118" s="10" t="s">
        <v>1612</v>
      </c>
      <c r="B118" s="10" t="s">
        <v>1630</v>
      </c>
      <c r="C118" s="10" t="s">
        <v>1661</v>
      </c>
      <c r="D118" s="9">
        <v>22</v>
      </c>
      <c r="E118" s="10" t="s">
        <v>1615</v>
      </c>
      <c r="F118" s="9">
        <v>22</v>
      </c>
      <c r="G118" s="10" t="s">
        <v>1616</v>
      </c>
      <c r="H118" s="10" t="s">
        <v>1617</v>
      </c>
    </row>
    <row r="119" spans="1:8" ht="32" customHeight="1">
      <c r="A119" s="10" t="s">
        <v>1612</v>
      </c>
      <c r="B119" s="10" t="s">
        <v>1630</v>
      </c>
      <c r="C119" s="10" t="s">
        <v>1662</v>
      </c>
      <c r="D119" s="9">
        <v>38</v>
      </c>
      <c r="E119" s="10" t="s">
        <v>1615</v>
      </c>
      <c r="F119" s="9">
        <v>38</v>
      </c>
      <c r="G119" s="10" t="s">
        <v>1616</v>
      </c>
      <c r="H119" s="10" t="s">
        <v>1617</v>
      </c>
    </row>
    <row r="120" spans="1:8" ht="32" customHeight="1">
      <c r="A120" s="10" t="s">
        <v>1612</v>
      </c>
      <c r="B120" s="10" t="s">
        <v>1630</v>
      </c>
      <c r="C120" s="10" t="s">
        <v>1663</v>
      </c>
      <c r="D120" s="9">
        <v>2</v>
      </c>
      <c r="E120" s="10" t="s">
        <v>1615</v>
      </c>
      <c r="F120" s="9">
        <v>2</v>
      </c>
      <c r="G120" s="10" t="s">
        <v>1616</v>
      </c>
      <c r="H120" s="10" t="s">
        <v>1617</v>
      </c>
    </row>
    <row r="121" spans="1:8" ht="32" customHeight="1">
      <c r="A121" s="10" t="s">
        <v>1612</v>
      </c>
      <c r="B121" s="10" t="s">
        <v>1630</v>
      </c>
      <c r="C121" s="10" t="s">
        <v>1664</v>
      </c>
      <c r="D121" s="9">
        <v>3</v>
      </c>
      <c r="E121" s="10" t="s">
        <v>1615</v>
      </c>
      <c r="F121" s="9">
        <v>3</v>
      </c>
      <c r="G121" s="10" t="s">
        <v>1616</v>
      </c>
      <c r="H121" s="10" t="s">
        <v>1617</v>
      </c>
    </row>
    <row r="122" spans="1:8" ht="32" customHeight="1">
      <c r="A122" s="10" t="s">
        <v>1612</v>
      </c>
      <c r="B122" s="10" t="s">
        <v>1630</v>
      </c>
      <c r="C122" s="10" t="s">
        <v>1665</v>
      </c>
      <c r="D122" s="9">
        <v>4</v>
      </c>
      <c r="E122" s="10" t="s">
        <v>1615</v>
      </c>
      <c r="F122" s="9">
        <v>4</v>
      </c>
      <c r="G122" s="10" t="s">
        <v>1616</v>
      </c>
      <c r="H122" s="10" t="s">
        <v>1617</v>
      </c>
    </row>
    <row r="123" spans="1:8" ht="32" customHeight="1">
      <c r="A123" s="10" t="s">
        <v>1612</v>
      </c>
      <c r="B123" s="10" t="s">
        <v>1630</v>
      </c>
      <c r="C123" s="10" t="s">
        <v>1666</v>
      </c>
      <c r="D123" s="9">
        <v>2</v>
      </c>
      <c r="E123" s="10" t="s">
        <v>1615</v>
      </c>
      <c r="F123" s="9">
        <v>2</v>
      </c>
      <c r="G123" s="10" t="s">
        <v>1616</v>
      </c>
      <c r="H123" s="10" t="s">
        <v>1617</v>
      </c>
    </row>
    <row r="124" spans="1:8" ht="32" customHeight="1">
      <c r="A124" s="10" t="s">
        <v>1612</v>
      </c>
      <c r="B124" s="10" t="s">
        <v>1630</v>
      </c>
      <c r="C124" s="10" t="s">
        <v>1667</v>
      </c>
      <c r="D124" s="9">
        <v>1</v>
      </c>
      <c r="E124" s="10" t="s">
        <v>1615</v>
      </c>
      <c r="F124" s="9">
        <v>1</v>
      </c>
      <c r="G124" s="10" t="s">
        <v>1616</v>
      </c>
      <c r="H124" s="10" t="s">
        <v>1617</v>
      </c>
    </row>
    <row r="125" spans="1:8" ht="32" customHeight="1">
      <c r="A125" s="10" t="s">
        <v>1612</v>
      </c>
      <c r="B125" s="10" t="s">
        <v>1630</v>
      </c>
      <c r="C125" s="10" t="s">
        <v>1668</v>
      </c>
      <c r="D125" s="9">
        <v>2</v>
      </c>
      <c r="E125" s="10" t="s">
        <v>1615</v>
      </c>
      <c r="F125" s="9">
        <v>2</v>
      </c>
      <c r="G125" s="10" t="s">
        <v>1616</v>
      </c>
      <c r="H125" s="10" t="s">
        <v>1617</v>
      </c>
    </row>
    <row r="126" spans="1:8" ht="32" customHeight="1">
      <c r="A126" s="10" t="s">
        <v>1612</v>
      </c>
      <c r="B126" s="10" t="s">
        <v>1630</v>
      </c>
      <c r="C126" s="10" t="s">
        <v>1669</v>
      </c>
      <c r="D126" s="9">
        <v>3</v>
      </c>
      <c r="E126" s="10" t="s">
        <v>1615</v>
      </c>
      <c r="F126" s="9">
        <v>3</v>
      </c>
      <c r="G126" s="10" t="s">
        <v>1616</v>
      </c>
      <c r="H126" s="10" t="s">
        <v>1617</v>
      </c>
    </row>
    <row r="127" spans="1:8" ht="32" customHeight="1">
      <c r="A127" s="10" t="s">
        <v>1612</v>
      </c>
      <c r="B127" s="10" t="s">
        <v>1630</v>
      </c>
      <c r="C127" s="10" t="s">
        <v>1670</v>
      </c>
      <c r="D127" s="9">
        <v>1</v>
      </c>
      <c r="E127" s="10" t="s">
        <v>1615</v>
      </c>
      <c r="F127" s="9">
        <v>1</v>
      </c>
      <c r="G127" s="10" t="s">
        <v>1616</v>
      </c>
      <c r="H127" s="10" t="s">
        <v>1617</v>
      </c>
    </row>
    <row r="128" spans="1:8" ht="32" customHeight="1">
      <c r="A128" s="10" t="s">
        <v>1612</v>
      </c>
      <c r="B128" s="10" t="s">
        <v>1630</v>
      </c>
      <c r="C128" s="10" t="s">
        <v>1671</v>
      </c>
      <c r="D128" s="9">
        <v>5</v>
      </c>
      <c r="E128" s="10" t="s">
        <v>1615</v>
      </c>
      <c r="F128" s="9">
        <v>5</v>
      </c>
      <c r="G128" s="10" t="s">
        <v>1616</v>
      </c>
      <c r="H128" s="10" t="s">
        <v>1617</v>
      </c>
    </row>
    <row r="129" spans="1:8" ht="32" customHeight="1">
      <c r="A129" s="10" t="s">
        <v>1612</v>
      </c>
      <c r="B129" s="10" t="s">
        <v>1630</v>
      </c>
      <c r="C129" s="10" t="s">
        <v>1672</v>
      </c>
      <c r="D129" s="9">
        <v>15</v>
      </c>
      <c r="E129" s="10" t="s">
        <v>1615</v>
      </c>
      <c r="F129" s="9">
        <v>15</v>
      </c>
      <c r="G129" s="10" t="s">
        <v>1616</v>
      </c>
      <c r="H129" s="10" t="s">
        <v>1617</v>
      </c>
    </row>
    <row r="130" spans="1:8" ht="32" customHeight="1">
      <c r="A130" s="10" t="s">
        <v>1612</v>
      </c>
      <c r="B130" s="10" t="s">
        <v>1630</v>
      </c>
      <c r="C130" s="10" t="s">
        <v>1673</v>
      </c>
      <c r="D130" s="9">
        <v>1</v>
      </c>
      <c r="E130" s="10" t="s">
        <v>1615</v>
      </c>
      <c r="F130" s="9">
        <v>1</v>
      </c>
      <c r="G130" s="10" t="s">
        <v>1616</v>
      </c>
      <c r="H130" s="10" t="s">
        <v>1617</v>
      </c>
    </row>
    <row r="131" spans="1:8" ht="32" customHeight="1">
      <c r="A131" s="10" t="s">
        <v>1612</v>
      </c>
      <c r="B131" s="10" t="s">
        <v>1630</v>
      </c>
      <c r="C131" s="10" t="s">
        <v>1674</v>
      </c>
      <c r="D131" s="9">
        <v>2</v>
      </c>
      <c r="E131" s="10" t="s">
        <v>1615</v>
      </c>
      <c r="F131" s="9">
        <v>2</v>
      </c>
      <c r="G131" s="10" t="s">
        <v>1616</v>
      </c>
      <c r="H131" s="10" t="s">
        <v>1617</v>
      </c>
    </row>
    <row r="132" spans="1:8" ht="32" customHeight="1">
      <c r="A132" s="10" t="s">
        <v>1612</v>
      </c>
      <c r="B132" s="10" t="s">
        <v>1630</v>
      </c>
      <c r="C132" s="10" t="s">
        <v>1675</v>
      </c>
      <c r="D132" s="9">
        <v>5</v>
      </c>
      <c r="E132" s="10" t="s">
        <v>1615</v>
      </c>
      <c r="F132" s="9">
        <v>5</v>
      </c>
      <c r="G132" s="10" t="s">
        <v>1616</v>
      </c>
      <c r="H132" s="10" t="s">
        <v>1617</v>
      </c>
    </row>
    <row r="133" spans="1:8" ht="32" customHeight="1">
      <c r="A133" s="10" t="s">
        <v>1612</v>
      </c>
      <c r="B133" s="10" t="s">
        <v>1676</v>
      </c>
      <c r="C133" s="10" t="s">
        <v>1677</v>
      </c>
      <c r="D133" s="9">
        <v>334</v>
      </c>
      <c r="E133" s="10" t="s">
        <v>1615</v>
      </c>
      <c r="F133" s="9">
        <v>334</v>
      </c>
      <c r="G133" s="10" t="s">
        <v>1616</v>
      </c>
      <c r="H133" s="10" t="s">
        <v>1617</v>
      </c>
    </row>
    <row r="134" spans="1:8" ht="32" customHeight="1">
      <c r="A134" s="10" t="s">
        <v>1612</v>
      </c>
      <c r="B134" s="10" t="s">
        <v>1676</v>
      </c>
      <c r="C134" s="10" t="s">
        <v>1678</v>
      </c>
      <c r="D134" s="9">
        <v>86</v>
      </c>
      <c r="E134" s="10" t="s">
        <v>1615</v>
      </c>
      <c r="F134" s="9">
        <v>86</v>
      </c>
      <c r="G134" s="10" t="s">
        <v>1616</v>
      </c>
      <c r="H134" s="10" t="s">
        <v>1617</v>
      </c>
    </row>
    <row r="135" spans="1:8" ht="32" customHeight="1">
      <c r="A135" s="10" t="s">
        <v>1612</v>
      </c>
      <c r="B135" s="10" t="s">
        <v>1679</v>
      </c>
      <c r="C135" s="10" t="s">
        <v>1680</v>
      </c>
      <c r="D135" s="9">
        <v>25</v>
      </c>
      <c r="E135" s="10" t="s">
        <v>1615</v>
      </c>
      <c r="F135" s="9">
        <v>25</v>
      </c>
      <c r="G135" s="10" t="s">
        <v>1616</v>
      </c>
      <c r="H135" s="10" t="s">
        <v>1617</v>
      </c>
    </row>
    <row r="136" spans="1:8" ht="32" customHeight="1">
      <c r="A136" s="10" t="s">
        <v>1612</v>
      </c>
      <c r="B136" s="10" t="s">
        <v>1679</v>
      </c>
      <c r="C136" s="10" t="s">
        <v>1681</v>
      </c>
      <c r="D136" s="9">
        <v>96</v>
      </c>
      <c r="E136" s="10" t="s">
        <v>1615</v>
      </c>
      <c r="F136" s="9">
        <v>96</v>
      </c>
      <c r="G136" s="10" t="s">
        <v>1616</v>
      </c>
      <c r="H136" s="10" t="s">
        <v>1617</v>
      </c>
    </row>
    <row r="137" spans="1:8" ht="32" customHeight="1">
      <c r="A137" s="10" t="s">
        <v>1612</v>
      </c>
      <c r="B137" s="10" t="s">
        <v>1679</v>
      </c>
      <c r="C137" s="10" t="s">
        <v>1682</v>
      </c>
      <c r="D137" s="9">
        <v>242</v>
      </c>
      <c r="E137" s="10" t="s">
        <v>1615</v>
      </c>
      <c r="F137" s="9">
        <v>242</v>
      </c>
      <c r="G137" s="10" t="s">
        <v>1616</v>
      </c>
      <c r="H137" s="10" t="s">
        <v>1617</v>
      </c>
    </row>
    <row r="138" spans="1:8" ht="32" customHeight="1">
      <c r="A138" s="10" t="s">
        <v>1612</v>
      </c>
      <c r="B138" s="10" t="s">
        <v>1679</v>
      </c>
      <c r="C138" s="10" t="s">
        <v>1683</v>
      </c>
      <c r="D138" s="9">
        <v>219</v>
      </c>
      <c r="E138" s="10" t="s">
        <v>1615</v>
      </c>
      <c r="F138" s="9">
        <v>219</v>
      </c>
      <c r="G138" s="10" t="s">
        <v>1616</v>
      </c>
      <c r="H138" s="10" t="s">
        <v>1617</v>
      </c>
    </row>
    <row r="139" spans="1:8" ht="32" customHeight="1">
      <c r="A139" s="10" t="s">
        <v>1612</v>
      </c>
      <c r="B139" s="10" t="s">
        <v>1679</v>
      </c>
      <c r="C139" s="10" t="s">
        <v>1684</v>
      </c>
      <c r="D139" s="9">
        <v>222</v>
      </c>
      <c r="E139" s="10" t="s">
        <v>1615</v>
      </c>
      <c r="F139" s="9">
        <v>222</v>
      </c>
      <c r="G139" s="10" t="s">
        <v>1616</v>
      </c>
      <c r="H139" s="10" t="s">
        <v>1617</v>
      </c>
    </row>
    <row r="140" spans="1:8" ht="32" customHeight="1">
      <c r="A140" s="10" t="s">
        <v>1612</v>
      </c>
      <c r="B140" s="10" t="s">
        <v>1679</v>
      </c>
      <c r="C140" s="10" t="s">
        <v>1685</v>
      </c>
      <c r="D140" s="9">
        <v>114</v>
      </c>
      <c r="E140" s="10" t="s">
        <v>1615</v>
      </c>
      <c r="F140" s="9">
        <v>114</v>
      </c>
      <c r="G140" s="10" t="s">
        <v>1616</v>
      </c>
      <c r="H140" s="10" t="s">
        <v>1617</v>
      </c>
    </row>
    <row r="141" spans="1:8" ht="32" customHeight="1">
      <c r="A141" s="10" t="s">
        <v>1612</v>
      </c>
      <c r="B141" s="10" t="s">
        <v>1679</v>
      </c>
      <c r="C141" s="10" t="s">
        <v>1686</v>
      </c>
      <c r="D141" s="9">
        <v>21</v>
      </c>
      <c r="E141" s="10" t="s">
        <v>1615</v>
      </c>
      <c r="F141" s="9">
        <v>21</v>
      </c>
      <c r="G141" s="10" t="s">
        <v>1616</v>
      </c>
      <c r="H141" s="10" t="s">
        <v>1617</v>
      </c>
    </row>
    <row r="142" spans="1:8" ht="32" customHeight="1">
      <c r="A142" s="10" t="s">
        <v>1612</v>
      </c>
      <c r="B142" s="10" t="s">
        <v>1679</v>
      </c>
      <c r="C142" s="10" t="s">
        <v>1687</v>
      </c>
      <c r="D142" s="9">
        <v>137</v>
      </c>
      <c r="E142" s="10" t="s">
        <v>1615</v>
      </c>
      <c r="F142" s="9">
        <v>137</v>
      </c>
      <c r="G142" s="10" t="s">
        <v>1616</v>
      </c>
      <c r="H142" s="10" t="s">
        <v>1617</v>
      </c>
    </row>
    <row r="143" spans="1:8" ht="32" customHeight="1">
      <c r="A143" s="10" t="s">
        <v>1612</v>
      </c>
      <c r="B143" s="10" t="s">
        <v>1679</v>
      </c>
      <c r="C143" s="10" t="s">
        <v>1688</v>
      </c>
      <c r="D143" s="9">
        <v>74</v>
      </c>
      <c r="E143" s="10" t="s">
        <v>1615</v>
      </c>
      <c r="F143" s="9">
        <v>74</v>
      </c>
      <c r="G143" s="10" t="s">
        <v>1616</v>
      </c>
      <c r="H143" s="10" t="s">
        <v>1617</v>
      </c>
    </row>
    <row r="144" spans="1:8" ht="32" customHeight="1">
      <c r="A144" s="10" t="s">
        <v>1612</v>
      </c>
      <c r="B144" s="10" t="s">
        <v>1679</v>
      </c>
      <c r="C144" s="10" t="s">
        <v>1689</v>
      </c>
      <c r="D144" s="9">
        <v>8</v>
      </c>
      <c r="E144" s="10" t="s">
        <v>1615</v>
      </c>
      <c r="F144" s="9">
        <v>8</v>
      </c>
      <c r="G144" s="10" t="s">
        <v>1616</v>
      </c>
      <c r="H144" s="10" t="s">
        <v>1617</v>
      </c>
    </row>
    <row r="145" spans="1:8" ht="32" customHeight="1">
      <c r="A145" s="10" t="s">
        <v>1612</v>
      </c>
      <c r="B145" s="10" t="s">
        <v>1679</v>
      </c>
      <c r="C145" s="10" t="s">
        <v>1690</v>
      </c>
      <c r="D145" s="9">
        <v>7</v>
      </c>
      <c r="E145" s="10" t="s">
        <v>1615</v>
      </c>
      <c r="F145" s="9">
        <v>7</v>
      </c>
      <c r="G145" s="10" t="s">
        <v>1616</v>
      </c>
      <c r="H145" s="10" t="s">
        <v>1617</v>
      </c>
    </row>
    <row r="146" spans="1:8" ht="32" customHeight="1">
      <c r="A146" s="10" t="s">
        <v>1612</v>
      </c>
      <c r="B146" s="10" t="s">
        <v>1679</v>
      </c>
      <c r="C146" s="10" t="s">
        <v>1691</v>
      </c>
      <c r="D146" s="9">
        <v>60</v>
      </c>
      <c r="E146" s="10" t="s">
        <v>1615</v>
      </c>
      <c r="F146" s="9">
        <v>60</v>
      </c>
      <c r="G146" s="10" t="s">
        <v>1616</v>
      </c>
      <c r="H146" s="10" t="s">
        <v>1617</v>
      </c>
    </row>
    <row r="147" spans="1:8" ht="32" customHeight="1">
      <c r="A147" s="10" t="s">
        <v>1612</v>
      </c>
      <c r="B147" s="10" t="s">
        <v>1679</v>
      </c>
      <c r="C147" s="10" t="s">
        <v>1692</v>
      </c>
      <c r="D147" s="9">
        <v>43</v>
      </c>
      <c r="E147" s="10" t="s">
        <v>1615</v>
      </c>
      <c r="F147" s="9">
        <v>43</v>
      </c>
      <c r="G147" s="10" t="s">
        <v>1616</v>
      </c>
      <c r="H147" s="10" t="s">
        <v>1617</v>
      </c>
    </row>
    <row r="148" spans="1:8" ht="32" customHeight="1">
      <c r="A148" s="10" t="s">
        <v>1612</v>
      </c>
      <c r="B148" s="10" t="s">
        <v>1679</v>
      </c>
      <c r="C148" s="10" t="s">
        <v>1659</v>
      </c>
      <c r="D148" s="9">
        <v>41</v>
      </c>
      <c r="E148" s="10" t="s">
        <v>1615</v>
      </c>
      <c r="F148" s="9">
        <v>41</v>
      </c>
      <c r="G148" s="10" t="s">
        <v>1616</v>
      </c>
      <c r="H148" s="10" t="s">
        <v>1617</v>
      </c>
    </row>
    <row r="149" spans="1:8" ht="32" customHeight="1">
      <c r="A149" s="10" t="s">
        <v>1612</v>
      </c>
      <c r="B149" s="10" t="s">
        <v>1679</v>
      </c>
      <c r="C149" s="10" t="s">
        <v>1693</v>
      </c>
      <c r="D149" s="9">
        <v>188</v>
      </c>
      <c r="E149" s="10" t="s">
        <v>1615</v>
      </c>
      <c r="F149" s="9">
        <v>188</v>
      </c>
      <c r="G149" s="10" t="s">
        <v>1616</v>
      </c>
      <c r="H149" s="10" t="s">
        <v>1617</v>
      </c>
    </row>
    <row r="150" spans="1:8" ht="32" customHeight="1">
      <c r="A150" s="10" t="s">
        <v>1612</v>
      </c>
      <c r="B150" s="10" t="s">
        <v>1679</v>
      </c>
      <c r="C150" s="10" t="s">
        <v>1694</v>
      </c>
      <c r="D150" s="9">
        <v>180</v>
      </c>
      <c r="E150" s="10" t="s">
        <v>1615</v>
      </c>
      <c r="F150" s="9">
        <v>180</v>
      </c>
      <c r="G150" s="10" t="s">
        <v>1616</v>
      </c>
      <c r="H150" s="10" t="s">
        <v>1617</v>
      </c>
    </row>
    <row r="151" spans="1:8" ht="32" customHeight="1">
      <c r="A151" s="10" t="s">
        <v>1612</v>
      </c>
      <c r="B151" s="10" t="s">
        <v>1679</v>
      </c>
      <c r="C151" s="10" t="s">
        <v>1695</v>
      </c>
      <c r="D151" s="9">
        <v>100</v>
      </c>
      <c r="E151" s="10" t="s">
        <v>1615</v>
      </c>
      <c r="F151" s="9">
        <v>100</v>
      </c>
      <c r="G151" s="10" t="s">
        <v>1616</v>
      </c>
      <c r="H151" s="10" t="s">
        <v>1617</v>
      </c>
    </row>
    <row r="152" spans="1:8" ht="32" customHeight="1">
      <c r="A152" s="10" t="s">
        <v>1612</v>
      </c>
      <c r="B152" s="10" t="s">
        <v>1679</v>
      </c>
      <c r="C152" s="10" t="s">
        <v>1696</v>
      </c>
      <c r="D152" s="9">
        <v>124</v>
      </c>
      <c r="E152" s="10" t="s">
        <v>1615</v>
      </c>
      <c r="F152" s="9">
        <v>124</v>
      </c>
      <c r="G152" s="10" t="s">
        <v>1616</v>
      </c>
      <c r="H152" s="10" t="s">
        <v>1617</v>
      </c>
    </row>
    <row r="153" spans="1:8" ht="32" customHeight="1">
      <c r="A153" s="10" t="s">
        <v>1612</v>
      </c>
      <c r="B153" s="10" t="s">
        <v>1679</v>
      </c>
      <c r="C153" s="10" t="s">
        <v>1697</v>
      </c>
      <c r="D153" s="9">
        <v>68</v>
      </c>
      <c r="E153" s="10" t="s">
        <v>1615</v>
      </c>
      <c r="F153" s="9">
        <v>68</v>
      </c>
      <c r="G153" s="10" t="s">
        <v>1616</v>
      </c>
      <c r="H153" s="10" t="s">
        <v>1617</v>
      </c>
    </row>
    <row r="154" spans="1:8" ht="32" customHeight="1">
      <c r="A154" s="10" t="s">
        <v>1612</v>
      </c>
      <c r="B154" s="10" t="s">
        <v>1679</v>
      </c>
      <c r="C154" s="10" t="s">
        <v>1698</v>
      </c>
      <c r="D154" s="9">
        <v>193</v>
      </c>
      <c r="E154" s="10" t="s">
        <v>1615</v>
      </c>
      <c r="F154" s="9">
        <v>193</v>
      </c>
      <c r="G154" s="10" t="s">
        <v>1616</v>
      </c>
      <c r="H154" s="10" t="s">
        <v>1617</v>
      </c>
    </row>
    <row r="155" spans="1:8" ht="32" customHeight="1">
      <c r="A155" s="10" t="s">
        <v>1612</v>
      </c>
      <c r="B155" s="10" t="s">
        <v>1679</v>
      </c>
      <c r="C155" s="10" t="s">
        <v>1699</v>
      </c>
      <c r="D155" s="9">
        <v>179</v>
      </c>
      <c r="E155" s="10" t="s">
        <v>1615</v>
      </c>
      <c r="F155" s="9">
        <v>179</v>
      </c>
      <c r="G155" s="10" t="s">
        <v>1616</v>
      </c>
      <c r="H155" s="10" t="s">
        <v>1617</v>
      </c>
    </row>
    <row r="156" spans="1:8" ht="32" customHeight="1">
      <c r="A156" s="10" t="s">
        <v>1612</v>
      </c>
      <c r="B156" s="10" t="s">
        <v>1679</v>
      </c>
      <c r="C156" s="10" t="s">
        <v>1611</v>
      </c>
      <c r="D156" s="9">
        <v>2</v>
      </c>
      <c r="E156" s="10" t="s">
        <v>1615</v>
      </c>
      <c r="F156" s="9">
        <v>2</v>
      </c>
      <c r="G156" s="10" t="s">
        <v>1616</v>
      </c>
      <c r="H156" s="10" t="s">
        <v>1617</v>
      </c>
    </row>
    <row r="157" spans="1:8" ht="32" customHeight="1">
      <c r="A157" s="10" t="s">
        <v>1612</v>
      </c>
      <c r="B157" s="10" t="s">
        <v>1679</v>
      </c>
      <c r="C157" s="10" t="s">
        <v>1700</v>
      </c>
      <c r="D157" s="9">
        <v>79</v>
      </c>
      <c r="E157" s="10" t="s">
        <v>1615</v>
      </c>
      <c r="F157" s="9">
        <v>79</v>
      </c>
      <c r="G157" s="10" t="s">
        <v>1616</v>
      </c>
      <c r="H157" s="10" t="s">
        <v>1617</v>
      </c>
    </row>
    <row r="158" spans="1:8" ht="32" customHeight="1">
      <c r="A158" s="10" t="s">
        <v>1612</v>
      </c>
      <c r="B158" s="10" t="s">
        <v>1679</v>
      </c>
      <c r="C158" s="10" t="s">
        <v>1701</v>
      </c>
      <c r="D158" s="9">
        <v>91</v>
      </c>
      <c r="E158" s="10" t="s">
        <v>1615</v>
      </c>
      <c r="F158" s="9">
        <v>91</v>
      </c>
      <c r="G158" s="10" t="s">
        <v>1616</v>
      </c>
      <c r="H158" s="10" t="s">
        <v>1617</v>
      </c>
    </row>
    <row r="159" spans="1:8" ht="32" customHeight="1">
      <c r="A159" s="10" t="s">
        <v>1612</v>
      </c>
      <c r="B159" s="10" t="s">
        <v>1679</v>
      </c>
      <c r="C159" s="10" t="s">
        <v>1604</v>
      </c>
      <c r="D159" s="9">
        <v>50</v>
      </c>
      <c r="E159" s="10" t="s">
        <v>1615</v>
      </c>
      <c r="F159" s="9">
        <v>50</v>
      </c>
      <c r="G159" s="10" t="s">
        <v>1616</v>
      </c>
      <c r="H159" s="10" t="s">
        <v>1617</v>
      </c>
    </row>
    <row r="160" spans="1:8" ht="32" customHeight="1">
      <c r="A160" s="10" t="s">
        <v>1612</v>
      </c>
      <c r="B160" s="10" t="s">
        <v>1679</v>
      </c>
      <c r="C160" s="10" t="s">
        <v>1601</v>
      </c>
      <c r="D160" s="9">
        <v>79</v>
      </c>
      <c r="E160" s="10" t="s">
        <v>1615</v>
      </c>
      <c r="F160" s="9">
        <v>79</v>
      </c>
      <c r="G160" s="10" t="s">
        <v>1616</v>
      </c>
      <c r="H160" s="10" t="s">
        <v>1617</v>
      </c>
    </row>
    <row r="161" spans="1:8" ht="32" customHeight="1">
      <c r="A161" s="10" t="s">
        <v>1612</v>
      </c>
      <c r="B161" s="10" t="s">
        <v>1702</v>
      </c>
      <c r="C161" s="10" t="s">
        <v>1703</v>
      </c>
      <c r="D161" s="9">
        <v>33</v>
      </c>
      <c r="E161" s="10" t="s">
        <v>1615</v>
      </c>
      <c r="F161" s="9">
        <v>33</v>
      </c>
      <c r="G161" s="10" t="s">
        <v>1616</v>
      </c>
      <c r="H161" s="10" t="s">
        <v>1617</v>
      </c>
    </row>
    <row r="162" spans="1:8" ht="32" customHeight="1">
      <c r="A162" s="10" t="s">
        <v>1612</v>
      </c>
      <c r="B162" s="10" t="s">
        <v>1702</v>
      </c>
      <c r="C162" s="10" t="s">
        <v>1704</v>
      </c>
      <c r="D162" s="9">
        <v>324</v>
      </c>
      <c r="E162" s="10" t="s">
        <v>1615</v>
      </c>
      <c r="F162" s="9">
        <v>324</v>
      </c>
      <c r="G162" s="10" t="s">
        <v>1616</v>
      </c>
      <c r="H162" s="10" t="s">
        <v>1617</v>
      </c>
    </row>
    <row r="163" spans="1:8" ht="32" customHeight="1">
      <c r="A163" s="10" t="s">
        <v>1612</v>
      </c>
      <c r="B163" s="10" t="s">
        <v>1705</v>
      </c>
      <c r="C163" s="10" t="s">
        <v>1706</v>
      </c>
      <c r="D163" s="9">
        <v>21</v>
      </c>
      <c r="E163" s="10" t="s">
        <v>1615</v>
      </c>
      <c r="F163" s="9">
        <v>21</v>
      </c>
      <c r="G163" s="10" t="s">
        <v>1616</v>
      </c>
      <c r="H163" s="10" t="s">
        <v>1617</v>
      </c>
    </row>
    <row r="164" spans="1:8" ht="32" customHeight="1">
      <c r="A164" s="10" t="s">
        <v>1612</v>
      </c>
      <c r="B164" s="10" t="s">
        <v>1705</v>
      </c>
      <c r="C164" s="10" t="s">
        <v>1707</v>
      </c>
      <c r="D164" s="9">
        <v>1</v>
      </c>
      <c r="E164" s="10" t="s">
        <v>1615</v>
      </c>
      <c r="F164" s="9">
        <v>1</v>
      </c>
      <c r="G164" s="10" t="s">
        <v>1616</v>
      </c>
      <c r="H164" s="10" t="s">
        <v>1617</v>
      </c>
    </row>
    <row r="165" spans="1:8" ht="32" customHeight="1">
      <c r="A165" s="10" t="s">
        <v>1612</v>
      </c>
      <c r="B165" s="10" t="s">
        <v>1705</v>
      </c>
      <c r="C165" s="10" t="s">
        <v>1708</v>
      </c>
      <c r="D165" s="9">
        <v>7</v>
      </c>
      <c r="E165" s="10" t="s">
        <v>1615</v>
      </c>
      <c r="F165" s="9">
        <v>7</v>
      </c>
      <c r="G165" s="10" t="s">
        <v>1616</v>
      </c>
      <c r="H165" s="10" t="s">
        <v>1617</v>
      </c>
    </row>
    <row r="166" spans="1:8" ht="32" customHeight="1">
      <c r="A166" s="10" t="s">
        <v>1612</v>
      </c>
      <c r="B166" s="10" t="s">
        <v>1705</v>
      </c>
      <c r="C166" s="10" t="s">
        <v>1709</v>
      </c>
      <c r="D166" s="9">
        <v>54</v>
      </c>
      <c r="E166" s="10" t="s">
        <v>1615</v>
      </c>
      <c r="F166" s="9">
        <v>54</v>
      </c>
      <c r="G166" s="10" t="s">
        <v>1616</v>
      </c>
      <c r="H166" s="10" t="s">
        <v>1617</v>
      </c>
    </row>
    <row r="167" spans="1:8" ht="32" customHeight="1">
      <c r="A167" s="10" t="s">
        <v>1612</v>
      </c>
      <c r="B167" s="10" t="s">
        <v>1705</v>
      </c>
      <c r="C167" s="10" t="s">
        <v>1710</v>
      </c>
      <c r="D167" s="9">
        <v>2</v>
      </c>
      <c r="E167" s="10" t="s">
        <v>1615</v>
      </c>
      <c r="F167" s="9">
        <v>2</v>
      </c>
      <c r="G167" s="10" t="s">
        <v>1616</v>
      </c>
      <c r="H167" s="10" t="s">
        <v>1617</v>
      </c>
    </row>
    <row r="168" spans="1:8" ht="32" customHeight="1">
      <c r="A168" s="10" t="s">
        <v>1612</v>
      </c>
      <c r="B168" s="10" t="s">
        <v>1705</v>
      </c>
      <c r="C168" s="10" t="s">
        <v>1711</v>
      </c>
      <c r="D168" s="9">
        <v>8</v>
      </c>
      <c r="E168" s="10" t="s">
        <v>1615</v>
      </c>
      <c r="F168" s="9">
        <v>8</v>
      </c>
      <c r="G168" s="10" t="s">
        <v>1616</v>
      </c>
      <c r="H168" s="10" t="s">
        <v>1617</v>
      </c>
    </row>
    <row r="169" spans="1:8" ht="32" customHeight="1">
      <c r="A169" s="10" t="s">
        <v>1612</v>
      </c>
      <c r="B169" s="10" t="s">
        <v>1705</v>
      </c>
      <c r="C169" s="10" t="s">
        <v>1712</v>
      </c>
      <c r="D169" s="9">
        <v>1</v>
      </c>
      <c r="E169" s="10" t="s">
        <v>1615</v>
      </c>
      <c r="F169" s="9">
        <v>1</v>
      </c>
      <c r="G169" s="10" t="s">
        <v>1616</v>
      </c>
      <c r="H169" s="10" t="s">
        <v>1617</v>
      </c>
    </row>
    <row r="170" spans="1:8" ht="32" customHeight="1">
      <c r="A170" s="10" t="s">
        <v>1612</v>
      </c>
      <c r="B170" s="10" t="s">
        <v>1705</v>
      </c>
      <c r="C170" s="10" t="s">
        <v>1713</v>
      </c>
      <c r="D170" s="9">
        <v>2</v>
      </c>
      <c r="E170" s="10" t="s">
        <v>1615</v>
      </c>
      <c r="F170" s="9">
        <v>2</v>
      </c>
      <c r="G170" s="10" t="s">
        <v>1616</v>
      </c>
      <c r="H170" s="10" t="s">
        <v>1617</v>
      </c>
    </row>
    <row r="171" spans="1:8" ht="32" customHeight="1">
      <c r="A171" s="10" t="s">
        <v>1612</v>
      </c>
      <c r="B171" s="10" t="s">
        <v>1705</v>
      </c>
      <c r="C171" s="10" t="s">
        <v>1714</v>
      </c>
      <c r="D171" s="9">
        <v>16</v>
      </c>
      <c r="E171" s="10" t="s">
        <v>1615</v>
      </c>
      <c r="F171" s="9">
        <v>16</v>
      </c>
      <c r="G171" s="10" t="s">
        <v>1616</v>
      </c>
      <c r="H171" s="10" t="s">
        <v>1617</v>
      </c>
    </row>
    <row r="172" spans="1:8" ht="32" customHeight="1">
      <c r="A172" s="10" t="s">
        <v>1612</v>
      </c>
      <c r="B172" s="10" t="s">
        <v>1705</v>
      </c>
      <c r="C172" s="10" t="s">
        <v>1715</v>
      </c>
      <c r="D172" s="9">
        <v>2</v>
      </c>
      <c r="E172" s="10" t="s">
        <v>1615</v>
      </c>
      <c r="F172" s="9">
        <v>2</v>
      </c>
      <c r="G172" s="10" t="s">
        <v>1616</v>
      </c>
      <c r="H172" s="10" t="s">
        <v>1617</v>
      </c>
    </row>
    <row r="173" spans="1:8" ht="32" customHeight="1">
      <c r="A173" s="10" t="s">
        <v>1612</v>
      </c>
      <c r="B173" s="10" t="s">
        <v>1705</v>
      </c>
      <c r="C173" s="10" t="s">
        <v>1716</v>
      </c>
      <c r="D173" s="9">
        <v>4</v>
      </c>
      <c r="E173" s="10" t="s">
        <v>1615</v>
      </c>
      <c r="F173" s="9">
        <v>4</v>
      </c>
      <c r="G173" s="10" t="s">
        <v>1616</v>
      </c>
      <c r="H173" s="10" t="s">
        <v>1617</v>
      </c>
    </row>
    <row r="174" spans="1:8" ht="32" customHeight="1">
      <c r="A174" s="10" t="s">
        <v>1612</v>
      </c>
      <c r="B174" s="10" t="s">
        <v>1705</v>
      </c>
      <c r="C174" s="10" t="s">
        <v>1717</v>
      </c>
      <c r="D174" s="9">
        <v>9</v>
      </c>
      <c r="E174" s="10" t="s">
        <v>1615</v>
      </c>
      <c r="F174" s="9">
        <v>9</v>
      </c>
      <c r="G174" s="10" t="s">
        <v>1616</v>
      </c>
      <c r="H174" s="10" t="s">
        <v>1617</v>
      </c>
    </row>
    <row r="175" spans="1:8" ht="32" customHeight="1">
      <c r="A175" s="10" t="s">
        <v>1612</v>
      </c>
      <c r="B175" s="10" t="s">
        <v>1705</v>
      </c>
      <c r="C175" s="10" t="s">
        <v>1718</v>
      </c>
      <c r="D175" s="9">
        <v>1</v>
      </c>
      <c r="E175" s="10" t="s">
        <v>1615</v>
      </c>
      <c r="F175" s="9">
        <v>1</v>
      </c>
      <c r="G175" s="10" t="s">
        <v>1616</v>
      </c>
      <c r="H175" s="10" t="s">
        <v>1617</v>
      </c>
    </row>
    <row r="176" spans="1:8" ht="32" customHeight="1">
      <c r="A176" s="10" t="s">
        <v>1612</v>
      </c>
      <c r="B176" s="10" t="s">
        <v>1705</v>
      </c>
      <c r="C176" s="10" t="s">
        <v>1719</v>
      </c>
      <c r="D176" s="9">
        <v>1</v>
      </c>
      <c r="E176" s="10" t="s">
        <v>1615</v>
      </c>
      <c r="F176" s="9">
        <v>1</v>
      </c>
      <c r="G176" s="10" t="s">
        <v>1616</v>
      </c>
      <c r="H176" s="10" t="s">
        <v>1617</v>
      </c>
    </row>
    <row r="177" spans="1:8" ht="32" customHeight="1">
      <c r="A177" s="10" t="s">
        <v>1612</v>
      </c>
      <c r="B177" s="10" t="s">
        <v>1705</v>
      </c>
      <c r="C177" s="10" t="s">
        <v>1720</v>
      </c>
      <c r="D177" s="9">
        <v>2</v>
      </c>
      <c r="E177" s="10" t="s">
        <v>1615</v>
      </c>
      <c r="F177" s="9">
        <v>2</v>
      </c>
      <c r="G177" s="10" t="s">
        <v>1616</v>
      </c>
      <c r="H177" s="10" t="s">
        <v>1617</v>
      </c>
    </row>
    <row r="178" spans="1:8" ht="32" customHeight="1">
      <c r="A178" s="10" t="s">
        <v>1612</v>
      </c>
      <c r="B178" s="10" t="s">
        <v>1705</v>
      </c>
      <c r="C178" s="10" t="s">
        <v>1721</v>
      </c>
      <c r="D178" s="9">
        <v>44</v>
      </c>
      <c r="E178" s="10" t="s">
        <v>1615</v>
      </c>
      <c r="F178" s="9">
        <v>44</v>
      </c>
      <c r="G178" s="10" t="s">
        <v>1616</v>
      </c>
      <c r="H178" s="10" t="s">
        <v>1617</v>
      </c>
    </row>
    <row r="179" spans="1:8" ht="32" customHeight="1">
      <c r="A179" s="10" t="s">
        <v>1612</v>
      </c>
      <c r="B179" s="10" t="s">
        <v>1705</v>
      </c>
      <c r="C179" s="10" t="s">
        <v>1722</v>
      </c>
      <c r="D179" s="9">
        <v>1</v>
      </c>
      <c r="E179" s="10" t="s">
        <v>1615</v>
      </c>
      <c r="F179" s="9">
        <v>1</v>
      </c>
      <c r="G179" s="10" t="s">
        <v>1616</v>
      </c>
      <c r="H179" s="10" t="s">
        <v>1617</v>
      </c>
    </row>
    <row r="180" spans="1:8" ht="32" customHeight="1">
      <c r="A180" s="10" t="s">
        <v>1612</v>
      </c>
      <c r="B180" s="10" t="s">
        <v>1705</v>
      </c>
      <c r="C180" s="10" t="s">
        <v>1723</v>
      </c>
      <c r="D180" s="9">
        <v>28</v>
      </c>
      <c r="E180" s="10" t="s">
        <v>1615</v>
      </c>
      <c r="F180" s="9">
        <v>28</v>
      </c>
      <c r="G180" s="10" t="s">
        <v>1616</v>
      </c>
      <c r="H180" s="10" t="s">
        <v>1617</v>
      </c>
    </row>
    <row r="181" spans="1:8" ht="32" customHeight="1">
      <c r="A181" s="10" t="s">
        <v>1612</v>
      </c>
      <c r="B181" s="10" t="s">
        <v>1705</v>
      </c>
      <c r="C181" s="10" t="s">
        <v>1724</v>
      </c>
      <c r="D181" s="9">
        <v>1</v>
      </c>
      <c r="E181" s="10" t="s">
        <v>1615</v>
      </c>
      <c r="F181" s="9">
        <v>1</v>
      </c>
      <c r="G181" s="10" t="s">
        <v>1616</v>
      </c>
      <c r="H181" s="10" t="s">
        <v>1617</v>
      </c>
    </row>
    <row r="182" spans="1:8" ht="32" customHeight="1">
      <c r="A182" s="10" t="s">
        <v>1612</v>
      </c>
      <c r="B182" s="10" t="s">
        <v>1705</v>
      </c>
      <c r="C182" s="10" t="s">
        <v>1725</v>
      </c>
      <c r="D182" s="9">
        <v>2</v>
      </c>
      <c r="E182" s="10" t="s">
        <v>1615</v>
      </c>
      <c r="F182" s="9">
        <v>2</v>
      </c>
      <c r="G182" s="10" t="s">
        <v>1616</v>
      </c>
      <c r="H182" s="10" t="s">
        <v>1617</v>
      </c>
    </row>
    <row r="183" spans="1:8" ht="32" customHeight="1">
      <c r="A183" s="10" t="s">
        <v>1612</v>
      </c>
      <c r="B183" s="10" t="s">
        <v>1705</v>
      </c>
      <c r="C183" s="10" t="s">
        <v>1726</v>
      </c>
      <c r="D183" s="9">
        <v>5</v>
      </c>
      <c r="E183" s="10" t="s">
        <v>1615</v>
      </c>
      <c r="F183" s="9">
        <v>5</v>
      </c>
      <c r="G183" s="10" t="s">
        <v>1616</v>
      </c>
      <c r="H183" s="10" t="s">
        <v>1617</v>
      </c>
    </row>
    <row r="184" spans="1:8" ht="32" customHeight="1">
      <c r="A184" s="10" t="s">
        <v>1612</v>
      </c>
      <c r="B184" s="10" t="s">
        <v>1705</v>
      </c>
      <c r="C184" s="10" t="s">
        <v>1727</v>
      </c>
      <c r="D184" s="9">
        <v>49</v>
      </c>
      <c r="E184" s="10" t="s">
        <v>1615</v>
      </c>
      <c r="F184" s="9">
        <v>49</v>
      </c>
      <c r="G184" s="10" t="s">
        <v>1616</v>
      </c>
      <c r="H184" s="10" t="s">
        <v>1617</v>
      </c>
    </row>
    <row r="185" spans="1:8" ht="32" customHeight="1">
      <c r="A185" s="10" t="s">
        <v>1612</v>
      </c>
      <c r="B185" s="10" t="s">
        <v>1705</v>
      </c>
      <c r="C185" s="10" t="s">
        <v>1728</v>
      </c>
      <c r="D185" s="9">
        <v>1</v>
      </c>
      <c r="E185" s="10" t="s">
        <v>1615</v>
      </c>
      <c r="F185" s="9">
        <v>1</v>
      </c>
      <c r="G185" s="10" t="s">
        <v>1616</v>
      </c>
      <c r="H185" s="10" t="s">
        <v>1617</v>
      </c>
    </row>
    <row r="186" spans="1:8" ht="32" customHeight="1">
      <c r="A186" s="10" t="s">
        <v>1612</v>
      </c>
      <c r="B186" s="10" t="s">
        <v>1705</v>
      </c>
      <c r="C186" s="10" t="s">
        <v>1729</v>
      </c>
      <c r="D186" s="9">
        <v>46</v>
      </c>
      <c r="E186" s="10" t="s">
        <v>1615</v>
      </c>
      <c r="F186" s="9">
        <v>46</v>
      </c>
      <c r="G186" s="10" t="s">
        <v>1616</v>
      </c>
      <c r="H186" s="10" t="s">
        <v>1617</v>
      </c>
    </row>
    <row r="187" spans="1:8" ht="32" customHeight="1">
      <c r="A187" s="10" t="s">
        <v>1612</v>
      </c>
      <c r="B187" s="10" t="s">
        <v>1705</v>
      </c>
      <c r="C187" s="10" t="s">
        <v>1730</v>
      </c>
      <c r="D187" s="9">
        <v>3</v>
      </c>
      <c r="E187" s="10" t="s">
        <v>1615</v>
      </c>
      <c r="F187" s="9">
        <v>3</v>
      </c>
      <c r="G187" s="10" t="s">
        <v>1616</v>
      </c>
      <c r="H187" s="10" t="s">
        <v>1617</v>
      </c>
    </row>
    <row r="188" spans="1:8" ht="32" customHeight="1">
      <c r="A188" s="10" t="s">
        <v>1612</v>
      </c>
      <c r="B188" s="10" t="s">
        <v>1705</v>
      </c>
      <c r="C188" s="10" t="s">
        <v>1731</v>
      </c>
      <c r="D188" s="9">
        <v>5</v>
      </c>
      <c r="E188" s="10" t="s">
        <v>1615</v>
      </c>
      <c r="F188" s="9">
        <v>5</v>
      </c>
      <c r="G188" s="10" t="s">
        <v>1616</v>
      </c>
      <c r="H188" s="10" t="s">
        <v>1617</v>
      </c>
    </row>
    <row r="189" spans="1:8" ht="32" customHeight="1">
      <c r="A189" s="10" t="s">
        <v>1612</v>
      </c>
      <c r="B189" s="10" t="s">
        <v>1705</v>
      </c>
      <c r="C189" s="10" t="s">
        <v>1732</v>
      </c>
      <c r="D189" s="9">
        <v>28</v>
      </c>
      <c r="E189" s="10" t="s">
        <v>1615</v>
      </c>
      <c r="F189" s="9">
        <v>28</v>
      </c>
      <c r="G189" s="10" t="s">
        <v>1616</v>
      </c>
      <c r="H189" s="10" t="s">
        <v>1617</v>
      </c>
    </row>
    <row r="190" spans="1:8" ht="32" customHeight="1">
      <c r="A190" s="10" t="s">
        <v>1612</v>
      </c>
      <c r="B190" s="10" t="s">
        <v>1705</v>
      </c>
      <c r="C190" s="10" t="s">
        <v>1733</v>
      </c>
      <c r="D190" s="9">
        <v>86</v>
      </c>
      <c r="E190" s="10" t="s">
        <v>1615</v>
      </c>
      <c r="F190" s="9">
        <v>86</v>
      </c>
      <c r="G190" s="10" t="s">
        <v>1616</v>
      </c>
      <c r="H190" s="10" t="s">
        <v>1617</v>
      </c>
    </row>
    <row r="191" spans="1:8" ht="32" customHeight="1">
      <c r="A191" s="10" t="s">
        <v>1612</v>
      </c>
      <c r="B191" s="10" t="s">
        <v>1705</v>
      </c>
      <c r="C191" s="10" t="s">
        <v>1734</v>
      </c>
      <c r="D191" s="9">
        <v>142</v>
      </c>
      <c r="E191" s="10" t="s">
        <v>1615</v>
      </c>
      <c r="F191" s="9">
        <v>142</v>
      </c>
      <c r="G191" s="10" t="s">
        <v>1616</v>
      </c>
      <c r="H191" s="10" t="s">
        <v>1617</v>
      </c>
    </row>
    <row r="192" spans="1:8" ht="32" customHeight="1">
      <c r="A192" s="10" t="s">
        <v>1612</v>
      </c>
      <c r="B192" s="10" t="s">
        <v>1705</v>
      </c>
      <c r="C192" s="10" t="s">
        <v>1735</v>
      </c>
      <c r="D192" s="9">
        <v>28</v>
      </c>
      <c r="E192" s="10" t="s">
        <v>1615</v>
      </c>
      <c r="F192" s="9">
        <v>28</v>
      </c>
      <c r="G192" s="10" t="s">
        <v>1616</v>
      </c>
      <c r="H192" s="10" t="s">
        <v>1617</v>
      </c>
    </row>
    <row r="193" spans="1:8" ht="32" customHeight="1">
      <c r="A193" s="10" t="s">
        <v>1612</v>
      </c>
      <c r="B193" s="10" t="s">
        <v>1705</v>
      </c>
      <c r="C193" s="10" t="s">
        <v>1736</v>
      </c>
      <c r="D193" s="9">
        <v>1</v>
      </c>
      <c r="E193" s="10" t="s">
        <v>1615</v>
      </c>
      <c r="F193" s="9">
        <v>1</v>
      </c>
      <c r="G193" s="10" t="s">
        <v>1616</v>
      </c>
      <c r="H193" s="10" t="s">
        <v>1617</v>
      </c>
    </row>
    <row r="194" spans="1:8" ht="32" customHeight="1">
      <c r="A194" s="10" t="s">
        <v>1612</v>
      </c>
      <c r="B194" s="10" t="s">
        <v>1705</v>
      </c>
      <c r="C194" s="10" t="s">
        <v>1737</v>
      </c>
      <c r="D194" s="9">
        <v>6</v>
      </c>
      <c r="E194" s="10" t="s">
        <v>1615</v>
      </c>
      <c r="F194" s="9">
        <v>6</v>
      </c>
      <c r="G194" s="10" t="s">
        <v>1616</v>
      </c>
      <c r="H194" s="10" t="s">
        <v>1617</v>
      </c>
    </row>
    <row r="195" spans="1:8" ht="32" customHeight="1">
      <c r="A195" s="10" t="s">
        <v>1612</v>
      </c>
      <c r="B195" s="10" t="s">
        <v>1705</v>
      </c>
      <c r="C195" s="10" t="s">
        <v>1738</v>
      </c>
      <c r="D195" s="9">
        <v>8</v>
      </c>
      <c r="E195" s="10" t="s">
        <v>1615</v>
      </c>
      <c r="F195" s="9">
        <v>8</v>
      </c>
      <c r="G195" s="10" t="s">
        <v>1616</v>
      </c>
      <c r="H195" s="10" t="s">
        <v>1617</v>
      </c>
    </row>
    <row r="196" spans="1:8" ht="32" customHeight="1">
      <c r="A196" s="10" t="s">
        <v>1612</v>
      </c>
      <c r="B196" s="10" t="s">
        <v>1705</v>
      </c>
      <c r="C196" s="10" t="s">
        <v>1739</v>
      </c>
      <c r="D196" s="9">
        <v>35</v>
      </c>
      <c r="E196" s="10" t="s">
        <v>1615</v>
      </c>
      <c r="F196" s="9">
        <v>35</v>
      </c>
      <c r="G196" s="10" t="s">
        <v>1616</v>
      </c>
      <c r="H196" s="10" t="s">
        <v>1617</v>
      </c>
    </row>
    <row r="197" spans="1:8" ht="32" customHeight="1">
      <c r="A197" s="10" t="s">
        <v>1612</v>
      </c>
      <c r="B197" s="10" t="s">
        <v>1705</v>
      </c>
      <c r="C197" s="10" t="s">
        <v>1740</v>
      </c>
      <c r="D197" s="9">
        <v>3</v>
      </c>
      <c r="E197" s="10" t="s">
        <v>1615</v>
      </c>
      <c r="F197" s="9">
        <v>3</v>
      </c>
      <c r="G197" s="10" t="s">
        <v>1616</v>
      </c>
      <c r="H197" s="10" t="s">
        <v>1617</v>
      </c>
    </row>
    <row r="198" spans="1:8" ht="32" customHeight="1">
      <c r="A198" s="10" t="s">
        <v>1612</v>
      </c>
      <c r="B198" s="10" t="s">
        <v>1705</v>
      </c>
      <c r="C198" s="10" t="s">
        <v>1741</v>
      </c>
      <c r="D198" s="9">
        <v>1</v>
      </c>
      <c r="E198" s="10" t="s">
        <v>1615</v>
      </c>
      <c r="F198" s="9">
        <v>1</v>
      </c>
      <c r="G198" s="10" t="s">
        <v>1616</v>
      </c>
      <c r="H198" s="10" t="s">
        <v>1617</v>
      </c>
    </row>
    <row r="199" spans="1:8" ht="32" customHeight="1">
      <c r="A199" s="10" t="s">
        <v>1612</v>
      </c>
      <c r="B199" s="10" t="s">
        <v>1705</v>
      </c>
      <c r="C199" s="10" t="s">
        <v>1742</v>
      </c>
      <c r="D199" s="9">
        <v>7</v>
      </c>
      <c r="E199" s="10" t="s">
        <v>1615</v>
      </c>
      <c r="F199" s="9">
        <v>7</v>
      </c>
      <c r="G199" s="10" t="s">
        <v>1616</v>
      </c>
      <c r="H199" s="10" t="s">
        <v>1617</v>
      </c>
    </row>
    <row r="200" spans="1:8" ht="32" customHeight="1">
      <c r="A200" s="10" t="s">
        <v>1612</v>
      </c>
      <c r="B200" s="10" t="s">
        <v>1705</v>
      </c>
      <c r="C200" s="10" t="s">
        <v>1743</v>
      </c>
      <c r="D200" s="9">
        <v>2</v>
      </c>
      <c r="E200" s="10" t="s">
        <v>1615</v>
      </c>
      <c r="F200" s="9">
        <v>2</v>
      </c>
      <c r="G200" s="10" t="s">
        <v>1616</v>
      </c>
      <c r="H200" s="10" t="s">
        <v>1617</v>
      </c>
    </row>
    <row r="201" spans="1:8" ht="32" customHeight="1">
      <c r="A201" s="10" t="s">
        <v>1612</v>
      </c>
      <c r="B201" s="10" t="s">
        <v>1705</v>
      </c>
      <c r="C201" s="10" t="s">
        <v>1744</v>
      </c>
      <c r="D201" s="9">
        <v>11</v>
      </c>
      <c r="E201" s="10" t="s">
        <v>1615</v>
      </c>
      <c r="F201" s="9">
        <v>11</v>
      </c>
      <c r="G201" s="10" t="s">
        <v>1616</v>
      </c>
      <c r="H201" s="10" t="s">
        <v>1617</v>
      </c>
    </row>
    <row r="202" spans="1:8" ht="32" customHeight="1">
      <c r="A202" s="10" t="s">
        <v>1612</v>
      </c>
      <c r="B202" s="10" t="s">
        <v>1705</v>
      </c>
      <c r="C202" s="10" t="s">
        <v>1745</v>
      </c>
      <c r="D202" s="9">
        <v>16</v>
      </c>
      <c r="E202" s="10" t="s">
        <v>1615</v>
      </c>
      <c r="F202" s="9">
        <v>16</v>
      </c>
      <c r="G202" s="10" t="s">
        <v>1616</v>
      </c>
      <c r="H202" s="10" t="s">
        <v>1617</v>
      </c>
    </row>
    <row r="203" spans="1:8" ht="32" customHeight="1">
      <c r="A203" s="10" t="s">
        <v>1612</v>
      </c>
      <c r="B203" s="10" t="s">
        <v>1705</v>
      </c>
      <c r="C203" s="10" t="s">
        <v>1746</v>
      </c>
      <c r="D203" s="9">
        <v>4</v>
      </c>
      <c r="E203" s="10" t="s">
        <v>1615</v>
      </c>
      <c r="F203" s="9">
        <v>4</v>
      </c>
      <c r="G203" s="10" t="s">
        <v>1616</v>
      </c>
      <c r="H203" s="10" t="s">
        <v>1617</v>
      </c>
    </row>
    <row r="204" spans="1:8" ht="32" customHeight="1">
      <c r="A204" s="10" t="s">
        <v>1612</v>
      </c>
      <c r="B204" s="10" t="s">
        <v>1705</v>
      </c>
      <c r="C204" s="10" t="s">
        <v>1747</v>
      </c>
      <c r="D204" s="9">
        <v>2</v>
      </c>
      <c r="E204" s="10" t="s">
        <v>1615</v>
      </c>
      <c r="F204" s="9">
        <v>2</v>
      </c>
      <c r="G204" s="10" t="s">
        <v>1616</v>
      </c>
      <c r="H204" s="10" t="s">
        <v>1617</v>
      </c>
    </row>
    <row r="205" spans="1:8" ht="32" customHeight="1">
      <c r="A205" s="10" t="s">
        <v>1612</v>
      </c>
      <c r="B205" s="10" t="s">
        <v>1705</v>
      </c>
      <c r="C205" s="10" t="s">
        <v>1748</v>
      </c>
      <c r="D205" s="9">
        <v>3</v>
      </c>
      <c r="E205" s="10" t="s">
        <v>1615</v>
      </c>
      <c r="F205" s="9">
        <v>3</v>
      </c>
      <c r="G205" s="10" t="s">
        <v>1616</v>
      </c>
      <c r="H205" s="10" t="s">
        <v>1617</v>
      </c>
    </row>
    <row r="206" spans="1:8" ht="32" customHeight="1">
      <c r="A206" s="10" t="s">
        <v>1612</v>
      </c>
      <c r="B206" s="10" t="s">
        <v>1705</v>
      </c>
      <c r="C206" s="10" t="s">
        <v>1749</v>
      </c>
      <c r="D206" s="9">
        <v>4</v>
      </c>
      <c r="E206" s="10" t="s">
        <v>1615</v>
      </c>
      <c r="F206" s="9">
        <v>4</v>
      </c>
      <c r="G206" s="10" t="s">
        <v>1616</v>
      </c>
      <c r="H206" s="10" t="s">
        <v>1617</v>
      </c>
    </row>
    <row r="207" spans="1:8" ht="32" customHeight="1">
      <c r="A207" s="10" t="s">
        <v>1612</v>
      </c>
      <c r="B207" s="10" t="s">
        <v>1750</v>
      </c>
      <c r="C207" s="10" t="s">
        <v>1751</v>
      </c>
      <c r="D207" s="9">
        <v>2</v>
      </c>
      <c r="E207" s="10" t="s">
        <v>1615</v>
      </c>
      <c r="F207" s="9">
        <v>2</v>
      </c>
      <c r="G207" s="10" t="s">
        <v>1616</v>
      </c>
      <c r="H207" s="10" t="s">
        <v>1617</v>
      </c>
    </row>
    <row r="208" spans="1:8" ht="32" customHeight="1">
      <c r="A208" s="10" t="s">
        <v>1612</v>
      </c>
      <c r="B208" s="10" t="s">
        <v>1750</v>
      </c>
      <c r="C208" s="10" t="s">
        <v>1752</v>
      </c>
      <c r="D208" s="9">
        <v>28</v>
      </c>
      <c r="E208" s="10" t="s">
        <v>1615</v>
      </c>
      <c r="F208" s="9">
        <v>28</v>
      </c>
      <c r="G208" s="10" t="s">
        <v>1616</v>
      </c>
      <c r="H208" s="10" t="s">
        <v>1617</v>
      </c>
    </row>
    <row r="209" spans="1:8" ht="32" customHeight="1">
      <c r="A209" s="10" t="s">
        <v>1612</v>
      </c>
      <c r="B209" s="10" t="s">
        <v>1750</v>
      </c>
      <c r="C209" s="10" t="s">
        <v>1753</v>
      </c>
      <c r="D209" s="9">
        <v>8</v>
      </c>
      <c r="E209" s="10" t="s">
        <v>1615</v>
      </c>
      <c r="F209" s="9">
        <v>8</v>
      </c>
      <c r="G209" s="10" t="s">
        <v>1616</v>
      </c>
      <c r="H209" s="10" t="s">
        <v>1617</v>
      </c>
    </row>
    <row r="210" spans="1:8" ht="32" customHeight="1">
      <c r="A210" s="10" t="s">
        <v>1612</v>
      </c>
      <c r="B210" s="10" t="s">
        <v>1750</v>
      </c>
      <c r="C210" s="10" t="s">
        <v>1754</v>
      </c>
      <c r="D210" s="9">
        <v>84</v>
      </c>
      <c r="E210" s="10" t="s">
        <v>1615</v>
      </c>
      <c r="F210" s="9">
        <v>84</v>
      </c>
      <c r="G210" s="10" t="s">
        <v>1616</v>
      </c>
      <c r="H210" s="10" t="s">
        <v>1617</v>
      </c>
    </row>
    <row r="211" spans="1:8" ht="32" customHeight="1">
      <c r="A211" s="10" t="s">
        <v>1612</v>
      </c>
      <c r="B211" s="10" t="s">
        <v>1750</v>
      </c>
      <c r="C211" s="10" t="s">
        <v>1755</v>
      </c>
      <c r="D211" s="9">
        <v>8</v>
      </c>
      <c r="E211" s="10" t="s">
        <v>1615</v>
      </c>
      <c r="F211" s="9">
        <v>8</v>
      </c>
      <c r="G211" s="10" t="s">
        <v>1616</v>
      </c>
      <c r="H211" s="10" t="s">
        <v>1617</v>
      </c>
    </row>
    <row r="212" spans="1:8" ht="32" customHeight="1">
      <c r="A212" s="10" t="s">
        <v>1612</v>
      </c>
      <c r="B212" s="10" t="s">
        <v>1750</v>
      </c>
      <c r="C212" s="10" t="s">
        <v>1756</v>
      </c>
      <c r="D212" s="9">
        <v>18</v>
      </c>
      <c r="E212" s="10" t="s">
        <v>1615</v>
      </c>
      <c r="F212" s="9">
        <v>18</v>
      </c>
      <c r="G212" s="10" t="s">
        <v>1616</v>
      </c>
      <c r="H212" s="10" t="s">
        <v>1617</v>
      </c>
    </row>
    <row r="213" spans="1:8" ht="32" customHeight="1">
      <c r="A213" s="10" t="s">
        <v>1612</v>
      </c>
      <c r="B213" s="10" t="s">
        <v>1750</v>
      </c>
      <c r="C213" s="10" t="s">
        <v>1757</v>
      </c>
      <c r="D213" s="9">
        <v>4</v>
      </c>
      <c r="E213" s="10" t="s">
        <v>1615</v>
      </c>
      <c r="F213" s="9">
        <v>4</v>
      </c>
      <c r="G213" s="10" t="s">
        <v>1616</v>
      </c>
      <c r="H213" s="10" t="s">
        <v>1617</v>
      </c>
    </row>
    <row r="214" spans="1:8" ht="32" customHeight="1">
      <c r="A214" s="10" t="s">
        <v>1612</v>
      </c>
      <c r="B214" s="10" t="s">
        <v>1750</v>
      </c>
      <c r="C214" s="10" t="s">
        <v>1758</v>
      </c>
      <c r="D214" s="9">
        <v>46</v>
      </c>
      <c r="E214" s="10" t="s">
        <v>1615</v>
      </c>
      <c r="F214" s="9">
        <v>46</v>
      </c>
      <c r="G214" s="10" t="s">
        <v>1616</v>
      </c>
      <c r="H214" s="10" t="s">
        <v>1617</v>
      </c>
    </row>
    <row r="215" spans="1:8" ht="32" customHeight="1">
      <c r="A215" s="10" t="s">
        <v>1612</v>
      </c>
      <c r="B215" s="10" t="s">
        <v>1750</v>
      </c>
      <c r="C215" s="10" t="s">
        <v>1759</v>
      </c>
      <c r="D215" s="9">
        <v>91</v>
      </c>
      <c r="E215" s="10" t="s">
        <v>1615</v>
      </c>
      <c r="F215" s="9">
        <v>91</v>
      </c>
      <c r="G215" s="10" t="s">
        <v>1616</v>
      </c>
      <c r="H215" s="10" t="s">
        <v>1617</v>
      </c>
    </row>
    <row r="216" spans="1:8" ht="32" customHeight="1">
      <c r="A216" s="10" t="s">
        <v>1612</v>
      </c>
      <c r="B216" s="10" t="s">
        <v>1750</v>
      </c>
      <c r="C216" s="10" t="s">
        <v>1760</v>
      </c>
      <c r="D216" s="9">
        <v>13</v>
      </c>
      <c r="E216" s="10" t="s">
        <v>1615</v>
      </c>
      <c r="F216" s="9">
        <v>13</v>
      </c>
      <c r="G216" s="10" t="s">
        <v>1616</v>
      </c>
      <c r="H216" s="10" t="s">
        <v>1617</v>
      </c>
    </row>
    <row r="217" spans="1:8" ht="32" customHeight="1">
      <c r="A217" s="10" t="s">
        <v>1612</v>
      </c>
      <c r="B217" s="10" t="s">
        <v>1750</v>
      </c>
      <c r="C217" s="10" t="s">
        <v>1761</v>
      </c>
      <c r="D217" s="9">
        <v>56</v>
      </c>
      <c r="E217" s="10" t="s">
        <v>1615</v>
      </c>
      <c r="F217" s="9">
        <v>56</v>
      </c>
      <c r="G217" s="10" t="s">
        <v>1616</v>
      </c>
      <c r="H217" s="10" t="s">
        <v>1617</v>
      </c>
    </row>
    <row r="218" spans="1:8" ht="32" customHeight="1">
      <c r="A218" s="10" t="s">
        <v>1612</v>
      </c>
      <c r="B218" s="10" t="s">
        <v>1750</v>
      </c>
      <c r="C218" s="10" t="s">
        <v>1762</v>
      </c>
      <c r="D218" s="9">
        <v>56</v>
      </c>
      <c r="E218" s="10" t="s">
        <v>1615</v>
      </c>
      <c r="F218" s="9">
        <v>56</v>
      </c>
      <c r="G218" s="10" t="s">
        <v>1616</v>
      </c>
      <c r="H218" s="10" t="s">
        <v>1617</v>
      </c>
    </row>
    <row r="219" spans="1:8" ht="32" customHeight="1">
      <c r="A219" s="10" t="s">
        <v>1612</v>
      </c>
      <c r="B219" s="10" t="s">
        <v>1750</v>
      </c>
      <c r="C219" s="10" t="s">
        <v>1763</v>
      </c>
      <c r="D219" s="9">
        <v>17</v>
      </c>
      <c r="E219" s="10" t="s">
        <v>1615</v>
      </c>
      <c r="F219" s="9">
        <v>17</v>
      </c>
      <c r="G219" s="10" t="s">
        <v>1616</v>
      </c>
      <c r="H219" s="10" t="s">
        <v>1617</v>
      </c>
    </row>
    <row r="220" spans="1:8" ht="32" customHeight="1">
      <c r="A220" s="10" t="s">
        <v>1612</v>
      </c>
      <c r="B220" s="10" t="s">
        <v>1750</v>
      </c>
      <c r="C220" s="10" t="s">
        <v>1764</v>
      </c>
      <c r="D220" s="9">
        <v>13</v>
      </c>
      <c r="E220" s="10" t="s">
        <v>1615</v>
      </c>
      <c r="F220" s="9">
        <v>13</v>
      </c>
      <c r="G220" s="10" t="s">
        <v>1616</v>
      </c>
      <c r="H220" s="10" t="s">
        <v>1617</v>
      </c>
    </row>
    <row r="221" spans="1:8" ht="32" customHeight="1">
      <c r="A221" s="10" t="s">
        <v>1612</v>
      </c>
      <c r="B221" s="10" t="s">
        <v>1750</v>
      </c>
      <c r="C221" s="10" t="s">
        <v>1765</v>
      </c>
      <c r="D221" s="9">
        <v>27</v>
      </c>
      <c r="E221" s="10" t="s">
        <v>1615</v>
      </c>
      <c r="F221" s="9">
        <v>27</v>
      </c>
      <c r="G221" s="10" t="s">
        <v>1616</v>
      </c>
      <c r="H221" s="10" t="s">
        <v>1617</v>
      </c>
    </row>
    <row r="222" spans="1:8" ht="32" customHeight="1">
      <c r="A222" s="10" t="s">
        <v>1612</v>
      </c>
      <c r="B222" s="10" t="s">
        <v>1750</v>
      </c>
      <c r="C222" s="10" t="s">
        <v>1766</v>
      </c>
      <c r="D222" s="9">
        <v>51</v>
      </c>
      <c r="E222" s="10" t="s">
        <v>1615</v>
      </c>
      <c r="F222" s="9">
        <v>51</v>
      </c>
      <c r="G222" s="10" t="s">
        <v>1616</v>
      </c>
      <c r="H222" s="10" t="s">
        <v>1617</v>
      </c>
    </row>
    <row r="223" spans="1:8" ht="32" customHeight="1">
      <c r="A223" s="10" t="s">
        <v>1612</v>
      </c>
      <c r="B223" s="10" t="s">
        <v>1750</v>
      </c>
      <c r="C223" s="10" t="s">
        <v>1767</v>
      </c>
      <c r="D223" s="9">
        <v>10</v>
      </c>
      <c r="E223" s="10" t="s">
        <v>1615</v>
      </c>
      <c r="F223" s="9">
        <v>10</v>
      </c>
      <c r="G223" s="10" t="s">
        <v>1616</v>
      </c>
      <c r="H223" s="10" t="s">
        <v>1617</v>
      </c>
    </row>
    <row r="224" spans="1:8" ht="32" customHeight="1">
      <c r="A224" s="10" t="s">
        <v>1612</v>
      </c>
      <c r="B224" s="10" t="s">
        <v>1750</v>
      </c>
      <c r="C224" s="10" t="s">
        <v>1768</v>
      </c>
      <c r="D224" s="9">
        <v>100</v>
      </c>
      <c r="E224" s="10" t="s">
        <v>1615</v>
      </c>
      <c r="F224" s="9">
        <v>100</v>
      </c>
      <c r="G224" s="10" t="s">
        <v>1616</v>
      </c>
      <c r="H224" s="10" t="s">
        <v>1617</v>
      </c>
    </row>
    <row r="225" spans="1:8" ht="32" customHeight="1">
      <c r="A225" s="10" t="s">
        <v>1612</v>
      </c>
      <c r="B225" s="10" t="s">
        <v>1750</v>
      </c>
      <c r="C225" s="10" t="s">
        <v>1769</v>
      </c>
      <c r="D225" s="9">
        <v>11</v>
      </c>
      <c r="E225" s="10" t="s">
        <v>1615</v>
      </c>
      <c r="F225" s="9">
        <v>11</v>
      </c>
      <c r="G225" s="10" t="s">
        <v>1616</v>
      </c>
      <c r="H225" s="10" t="s">
        <v>1617</v>
      </c>
    </row>
    <row r="226" spans="1:8" ht="32" customHeight="1">
      <c r="A226" s="10" t="s">
        <v>1612</v>
      </c>
      <c r="B226" s="10" t="s">
        <v>1770</v>
      </c>
      <c r="C226" s="10" t="s">
        <v>1771</v>
      </c>
      <c r="D226" s="9">
        <v>4</v>
      </c>
      <c r="E226" s="10" t="s">
        <v>1615</v>
      </c>
      <c r="F226" s="9">
        <v>4</v>
      </c>
      <c r="G226" s="10" t="s">
        <v>1616</v>
      </c>
      <c r="H226" s="10" t="s">
        <v>1617</v>
      </c>
    </row>
    <row r="227" spans="1:8" ht="32" customHeight="1">
      <c r="A227" s="10" t="s">
        <v>1612</v>
      </c>
      <c r="B227" s="10" t="s">
        <v>1770</v>
      </c>
      <c r="C227" s="10" t="s">
        <v>1772</v>
      </c>
      <c r="D227" s="9">
        <v>8</v>
      </c>
      <c r="E227" s="10" t="s">
        <v>1615</v>
      </c>
      <c r="F227" s="9">
        <v>8</v>
      </c>
      <c r="G227" s="10" t="s">
        <v>1616</v>
      </c>
      <c r="H227" s="10" t="s">
        <v>1617</v>
      </c>
    </row>
    <row r="228" spans="1:8" ht="32" customHeight="1">
      <c r="A228" s="10" t="s">
        <v>1612</v>
      </c>
      <c r="B228" s="10" t="s">
        <v>1770</v>
      </c>
      <c r="C228" s="10" t="s">
        <v>1773</v>
      </c>
      <c r="D228" s="9">
        <v>10</v>
      </c>
      <c r="E228" s="10" t="s">
        <v>1615</v>
      </c>
      <c r="F228" s="9">
        <v>10</v>
      </c>
      <c r="G228" s="10" t="s">
        <v>1616</v>
      </c>
      <c r="H228" s="10" t="s">
        <v>1617</v>
      </c>
    </row>
    <row r="229" spans="1:8" ht="32" customHeight="1">
      <c r="A229" s="10" t="s">
        <v>1612</v>
      </c>
      <c r="B229" s="10" t="s">
        <v>1770</v>
      </c>
      <c r="C229" s="10" t="s">
        <v>1774</v>
      </c>
      <c r="D229" s="9">
        <v>1</v>
      </c>
      <c r="E229" s="10" t="s">
        <v>1615</v>
      </c>
      <c r="F229" s="9">
        <v>1</v>
      </c>
      <c r="G229" s="10" t="s">
        <v>1616</v>
      </c>
      <c r="H229" s="10" t="s">
        <v>1617</v>
      </c>
    </row>
    <row r="230" spans="1:8" ht="32" customHeight="1">
      <c r="A230" s="10" t="s">
        <v>1612</v>
      </c>
      <c r="B230" s="10" t="s">
        <v>1770</v>
      </c>
      <c r="C230" s="10" t="s">
        <v>1775</v>
      </c>
      <c r="D230" s="9">
        <v>1</v>
      </c>
      <c r="E230" s="10" t="s">
        <v>1615</v>
      </c>
      <c r="F230" s="9">
        <v>1</v>
      </c>
      <c r="G230" s="10" t="s">
        <v>1616</v>
      </c>
      <c r="H230" s="10" t="s">
        <v>1617</v>
      </c>
    </row>
    <row r="231" spans="1:8" ht="32" customHeight="1">
      <c r="A231" s="10" t="s">
        <v>1612</v>
      </c>
      <c r="B231" s="10" t="s">
        <v>1770</v>
      </c>
      <c r="C231" s="10" t="s">
        <v>1776</v>
      </c>
      <c r="D231" s="9">
        <v>15</v>
      </c>
      <c r="E231" s="10" t="s">
        <v>1615</v>
      </c>
      <c r="F231" s="9">
        <v>15</v>
      </c>
      <c r="G231" s="10" t="s">
        <v>1616</v>
      </c>
      <c r="H231" s="10" t="s">
        <v>1617</v>
      </c>
    </row>
    <row r="232" spans="1:8" ht="32" customHeight="1">
      <c r="A232" s="10" t="s">
        <v>1612</v>
      </c>
      <c r="B232" s="10" t="s">
        <v>1777</v>
      </c>
      <c r="C232" s="10" t="s">
        <v>1778</v>
      </c>
      <c r="D232" s="9">
        <v>3</v>
      </c>
      <c r="E232" s="10" t="s">
        <v>1615</v>
      </c>
      <c r="F232" s="9">
        <v>3</v>
      </c>
      <c r="G232" s="10" t="s">
        <v>1616</v>
      </c>
      <c r="H232" s="10" t="s">
        <v>1617</v>
      </c>
    </row>
    <row r="233" spans="1:8" ht="32" customHeight="1">
      <c r="A233" s="10" t="s">
        <v>1612</v>
      </c>
      <c r="B233" s="10" t="s">
        <v>1777</v>
      </c>
      <c r="C233" s="10" t="s">
        <v>1779</v>
      </c>
      <c r="D233" s="9">
        <v>1</v>
      </c>
      <c r="E233" s="10" t="s">
        <v>1615</v>
      </c>
      <c r="F233" s="9">
        <v>1</v>
      </c>
      <c r="G233" s="10" t="s">
        <v>1616</v>
      </c>
      <c r="H233" s="10" t="s">
        <v>1617</v>
      </c>
    </row>
    <row r="234" spans="1:8" ht="32" customHeight="1">
      <c r="A234" s="10" t="s">
        <v>1612</v>
      </c>
      <c r="B234" s="10" t="s">
        <v>1777</v>
      </c>
      <c r="C234" s="10" t="s">
        <v>1780</v>
      </c>
      <c r="D234" s="9">
        <v>3</v>
      </c>
      <c r="E234" s="10" t="s">
        <v>1615</v>
      </c>
      <c r="F234" s="9">
        <v>3</v>
      </c>
      <c r="G234" s="10" t="s">
        <v>1616</v>
      </c>
      <c r="H234" s="10" t="s">
        <v>1617</v>
      </c>
    </row>
    <row r="235" spans="1:8" ht="32" customHeight="1">
      <c r="A235" s="10" t="s">
        <v>1612</v>
      </c>
      <c r="B235" s="10" t="s">
        <v>1777</v>
      </c>
      <c r="C235" s="10" t="s">
        <v>1602</v>
      </c>
      <c r="D235" s="9">
        <v>47</v>
      </c>
      <c r="E235" s="10" t="s">
        <v>1615</v>
      </c>
      <c r="F235" s="9">
        <v>47</v>
      </c>
      <c r="G235" s="10" t="s">
        <v>1616</v>
      </c>
      <c r="H235" s="10" t="s">
        <v>1617</v>
      </c>
    </row>
    <row r="236" spans="1:8" ht="32" customHeight="1">
      <c r="A236" s="10" t="s">
        <v>1612</v>
      </c>
      <c r="B236" s="10" t="s">
        <v>1777</v>
      </c>
      <c r="C236" s="10" t="s">
        <v>1781</v>
      </c>
      <c r="D236" s="9">
        <v>3</v>
      </c>
      <c r="E236" s="10" t="s">
        <v>1615</v>
      </c>
      <c r="F236" s="9">
        <v>3</v>
      </c>
      <c r="G236" s="10" t="s">
        <v>1616</v>
      </c>
      <c r="H236" s="10" t="s">
        <v>1617</v>
      </c>
    </row>
    <row r="237" spans="1:8" ht="32" customHeight="1">
      <c r="A237" s="10" t="s">
        <v>1612</v>
      </c>
      <c r="B237" s="10" t="s">
        <v>1777</v>
      </c>
      <c r="C237" s="10" t="s">
        <v>1782</v>
      </c>
      <c r="D237" s="9">
        <v>2</v>
      </c>
      <c r="E237" s="10" t="s">
        <v>1615</v>
      </c>
      <c r="F237" s="9">
        <v>2</v>
      </c>
      <c r="G237" s="10" t="s">
        <v>1616</v>
      </c>
      <c r="H237" s="10" t="s">
        <v>1617</v>
      </c>
    </row>
    <row r="238" spans="1:8" ht="32" customHeight="1">
      <c r="A238" s="10" t="s">
        <v>1612</v>
      </c>
      <c r="B238" s="10" t="s">
        <v>1777</v>
      </c>
      <c r="C238" s="10" t="s">
        <v>1783</v>
      </c>
      <c r="D238" s="9">
        <v>22</v>
      </c>
      <c r="E238" s="10" t="s">
        <v>1615</v>
      </c>
      <c r="F238" s="9">
        <v>22</v>
      </c>
      <c r="G238" s="10" t="s">
        <v>1616</v>
      </c>
      <c r="H238" s="10" t="s">
        <v>1617</v>
      </c>
    </row>
    <row r="239" spans="1:8" ht="32" customHeight="1">
      <c r="A239" s="10" t="s">
        <v>1612</v>
      </c>
      <c r="B239" s="10" t="s">
        <v>1777</v>
      </c>
      <c r="C239" s="10" t="s">
        <v>1784</v>
      </c>
      <c r="D239" s="9">
        <v>40</v>
      </c>
      <c r="E239" s="10" t="s">
        <v>1615</v>
      </c>
      <c r="F239" s="9">
        <v>40</v>
      </c>
      <c r="G239" s="10" t="s">
        <v>1616</v>
      </c>
      <c r="H239" s="10" t="s">
        <v>1617</v>
      </c>
    </row>
    <row r="240" spans="1:8" ht="32" customHeight="1">
      <c r="A240" s="10" t="s">
        <v>1612</v>
      </c>
      <c r="B240" s="10" t="s">
        <v>1777</v>
      </c>
      <c r="C240" s="10" t="s">
        <v>1785</v>
      </c>
      <c r="D240" s="9">
        <v>38</v>
      </c>
      <c r="E240" s="10" t="s">
        <v>1615</v>
      </c>
      <c r="F240" s="9">
        <v>38</v>
      </c>
      <c r="G240" s="10" t="s">
        <v>1616</v>
      </c>
      <c r="H240" s="10" t="s">
        <v>1617</v>
      </c>
    </row>
    <row r="241" spans="1:8" ht="32" customHeight="1">
      <c r="A241" s="10" t="s">
        <v>1612</v>
      </c>
      <c r="B241" s="10" t="s">
        <v>1777</v>
      </c>
      <c r="C241" s="10" t="s">
        <v>1786</v>
      </c>
      <c r="D241" s="9">
        <v>6</v>
      </c>
      <c r="E241" s="10" t="s">
        <v>1615</v>
      </c>
      <c r="F241" s="9">
        <v>6</v>
      </c>
      <c r="G241" s="10" t="s">
        <v>1616</v>
      </c>
      <c r="H241" s="10" t="s">
        <v>1617</v>
      </c>
    </row>
    <row r="242" spans="1:8" ht="32" customHeight="1">
      <c r="A242" s="10" t="s">
        <v>1612</v>
      </c>
      <c r="B242" s="10" t="s">
        <v>1777</v>
      </c>
      <c r="C242" s="10" t="s">
        <v>1787</v>
      </c>
      <c r="D242" s="9">
        <v>2</v>
      </c>
      <c r="E242" s="10" t="s">
        <v>1615</v>
      </c>
      <c r="F242" s="9">
        <v>2</v>
      </c>
      <c r="G242" s="10" t="s">
        <v>1616</v>
      </c>
      <c r="H242" s="10" t="s">
        <v>1617</v>
      </c>
    </row>
    <row r="243" spans="1:8" ht="32" customHeight="1">
      <c r="A243" s="10" t="s">
        <v>1612</v>
      </c>
      <c r="B243" s="10" t="s">
        <v>1777</v>
      </c>
      <c r="C243" s="10" t="s">
        <v>1788</v>
      </c>
      <c r="D243" s="9">
        <v>24</v>
      </c>
      <c r="E243" s="10" t="s">
        <v>1615</v>
      </c>
      <c r="F243" s="9">
        <v>24</v>
      </c>
      <c r="G243" s="10" t="s">
        <v>1616</v>
      </c>
      <c r="H243" s="10" t="s">
        <v>1617</v>
      </c>
    </row>
    <row r="244" spans="1:8" ht="32" customHeight="1">
      <c r="A244" s="10" t="s">
        <v>1612</v>
      </c>
      <c r="B244" s="10" t="s">
        <v>1777</v>
      </c>
      <c r="C244" s="10" t="s">
        <v>1789</v>
      </c>
      <c r="D244" s="9">
        <v>6</v>
      </c>
      <c r="E244" s="10" t="s">
        <v>1615</v>
      </c>
      <c r="F244" s="9">
        <v>6</v>
      </c>
      <c r="G244" s="10" t="s">
        <v>1616</v>
      </c>
      <c r="H244" s="10" t="s">
        <v>1617</v>
      </c>
    </row>
    <row r="245" spans="1:8" ht="32" customHeight="1">
      <c r="A245" s="10" t="s">
        <v>1612</v>
      </c>
      <c r="B245" s="10" t="s">
        <v>1777</v>
      </c>
      <c r="C245" s="10" t="s">
        <v>1790</v>
      </c>
      <c r="D245" s="9">
        <v>1</v>
      </c>
      <c r="E245" s="10" t="s">
        <v>1615</v>
      </c>
      <c r="F245" s="9">
        <v>1</v>
      </c>
      <c r="G245" s="10" t="s">
        <v>1616</v>
      </c>
      <c r="H245" s="10" t="s">
        <v>1617</v>
      </c>
    </row>
    <row r="246" spans="1:8" ht="32" customHeight="1">
      <c r="A246" s="10" t="s">
        <v>1612</v>
      </c>
      <c r="B246" s="10" t="s">
        <v>1777</v>
      </c>
      <c r="C246" s="10" t="s">
        <v>1791</v>
      </c>
      <c r="D246" s="9">
        <v>59</v>
      </c>
      <c r="E246" s="10" t="s">
        <v>1615</v>
      </c>
      <c r="F246" s="9">
        <v>59</v>
      </c>
      <c r="G246" s="10" t="s">
        <v>1616</v>
      </c>
      <c r="H246" s="10" t="s">
        <v>1617</v>
      </c>
    </row>
    <row r="247" spans="1:8" ht="32" customHeight="1">
      <c r="A247" s="10" t="s">
        <v>1612</v>
      </c>
      <c r="B247" s="10" t="s">
        <v>1777</v>
      </c>
      <c r="C247" s="10" t="s">
        <v>1792</v>
      </c>
      <c r="D247" s="9">
        <v>4</v>
      </c>
      <c r="E247" s="10" t="s">
        <v>1615</v>
      </c>
      <c r="F247" s="9">
        <v>4</v>
      </c>
      <c r="G247" s="10" t="s">
        <v>1616</v>
      </c>
      <c r="H247" s="10" t="s">
        <v>1617</v>
      </c>
    </row>
    <row r="248" spans="1:8" ht="32" customHeight="1">
      <c r="A248" s="10" t="s">
        <v>1612</v>
      </c>
      <c r="B248" s="10" t="s">
        <v>1777</v>
      </c>
      <c r="C248" s="10" t="s">
        <v>1793</v>
      </c>
      <c r="D248" s="9">
        <v>1</v>
      </c>
      <c r="E248" s="10" t="s">
        <v>1615</v>
      </c>
      <c r="F248" s="9">
        <v>1</v>
      </c>
      <c r="G248" s="10" t="s">
        <v>1616</v>
      </c>
      <c r="H248" s="10" t="s">
        <v>1617</v>
      </c>
    </row>
    <row r="249" spans="1:8" ht="32" customHeight="1">
      <c r="A249" s="10" t="s">
        <v>1612</v>
      </c>
      <c r="B249" s="10" t="s">
        <v>1777</v>
      </c>
      <c r="C249" s="10" t="s">
        <v>1794</v>
      </c>
      <c r="D249" s="9">
        <v>29</v>
      </c>
      <c r="E249" s="10" t="s">
        <v>1615</v>
      </c>
      <c r="F249" s="9">
        <v>29</v>
      </c>
      <c r="G249" s="10" t="s">
        <v>1616</v>
      </c>
      <c r="H249" s="10" t="s">
        <v>1617</v>
      </c>
    </row>
    <row r="250" spans="1:8" ht="32" customHeight="1">
      <c r="A250" s="10" t="s">
        <v>1612</v>
      </c>
      <c r="B250" s="10" t="s">
        <v>1777</v>
      </c>
      <c r="C250" s="10" t="s">
        <v>1795</v>
      </c>
      <c r="D250" s="9">
        <v>4</v>
      </c>
      <c r="E250" s="10" t="s">
        <v>1615</v>
      </c>
      <c r="F250" s="9">
        <v>4</v>
      </c>
      <c r="G250" s="10" t="s">
        <v>1616</v>
      </c>
      <c r="H250" s="10" t="s">
        <v>1617</v>
      </c>
    </row>
    <row r="251" spans="1:8" ht="32" customHeight="1">
      <c r="A251" s="10" t="s">
        <v>1612</v>
      </c>
      <c r="B251" s="10" t="s">
        <v>1777</v>
      </c>
      <c r="C251" s="10" t="s">
        <v>1796</v>
      </c>
      <c r="D251" s="9">
        <v>2</v>
      </c>
      <c r="E251" s="10" t="s">
        <v>1615</v>
      </c>
      <c r="F251" s="9">
        <v>2</v>
      </c>
      <c r="G251" s="10" t="s">
        <v>1616</v>
      </c>
      <c r="H251" s="10" t="s">
        <v>1617</v>
      </c>
    </row>
    <row r="252" spans="1:8" ht="32" customHeight="1">
      <c r="A252" s="10" t="s">
        <v>1612</v>
      </c>
      <c r="B252" s="10" t="s">
        <v>1777</v>
      </c>
      <c r="C252" s="10" t="s">
        <v>1797</v>
      </c>
      <c r="D252" s="9">
        <v>4</v>
      </c>
      <c r="E252" s="10" t="s">
        <v>1615</v>
      </c>
      <c r="F252" s="9">
        <v>4</v>
      </c>
      <c r="G252" s="10" t="s">
        <v>1616</v>
      </c>
      <c r="H252" s="10" t="s">
        <v>1617</v>
      </c>
    </row>
    <row r="253" spans="1:8" ht="32" customHeight="1">
      <c r="A253" s="10" t="s">
        <v>1612</v>
      </c>
      <c r="B253" s="10" t="s">
        <v>1777</v>
      </c>
      <c r="C253" s="10" t="s">
        <v>1798</v>
      </c>
      <c r="D253" s="9">
        <v>1</v>
      </c>
      <c r="E253" s="10" t="s">
        <v>1615</v>
      </c>
      <c r="F253" s="9">
        <v>1</v>
      </c>
      <c r="G253" s="10" t="s">
        <v>1616</v>
      </c>
      <c r="H253" s="10" t="s">
        <v>1617</v>
      </c>
    </row>
    <row r="254" spans="1:8" ht="32" customHeight="1">
      <c r="A254" s="10" t="s">
        <v>1612</v>
      </c>
      <c r="B254" s="10" t="s">
        <v>1777</v>
      </c>
      <c r="C254" s="10" t="s">
        <v>1799</v>
      </c>
      <c r="D254" s="9">
        <v>3</v>
      </c>
      <c r="E254" s="10" t="s">
        <v>1615</v>
      </c>
      <c r="F254" s="9">
        <v>3</v>
      </c>
      <c r="G254" s="10" t="s">
        <v>1616</v>
      </c>
      <c r="H254" s="10" t="s">
        <v>1617</v>
      </c>
    </row>
    <row r="255" spans="1:8" ht="32" customHeight="1">
      <c r="A255" s="10" t="s">
        <v>1612</v>
      </c>
      <c r="B255" s="10" t="s">
        <v>1777</v>
      </c>
      <c r="C255" s="10" t="s">
        <v>1800</v>
      </c>
      <c r="D255" s="9">
        <v>1</v>
      </c>
      <c r="E255" s="10" t="s">
        <v>1615</v>
      </c>
      <c r="F255" s="9">
        <v>1</v>
      </c>
      <c r="G255" s="10" t="s">
        <v>1616</v>
      </c>
      <c r="H255" s="10" t="s">
        <v>1617</v>
      </c>
    </row>
    <row r="256" spans="1:8" ht="32" customHeight="1">
      <c r="A256" s="10" t="s">
        <v>1612</v>
      </c>
      <c r="B256" s="10" t="s">
        <v>1777</v>
      </c>
      <c r="C256" s="10" t="s">
        <v>1801</v>
      </c>
      <c r="D256" s="9">
        <v>32</v>
      </c>
      <c r="E256" s="10" t="s">
        <v>1615</v>
      </c>
      <c r="F256" s="9">
        <v>32</v>
      </c>
      <c r="G256" s="10" t="s">
        <v>1616</v>
      </c>
      <c r="H256" s="10" t="s">
        <v>1617</v>
      </c>
    </row>
    <row r="257" spans="1:8" ht="32" customHeight="1">
      <c r="A257" s="10" t="s">
        <v>1612</v>
      </c>
      <c r="B257" s="10" t="s">
        <v>1777</v>
      </c>
      <c r="C257" s="10" t="s">
        <v>1802</v>
      </c>
      <c r="D257" s="9">
        <v>1</v>
      </c>
      <c r="E257" s="10" t="s">
        <v>1615</v>
      </c>
      <c r="F257" s="9">
        <v>1</v>
      </c>
      <c r="G257" s="10" t="s">
        <v>1616</v>
      </c>
      <c r="H257" s="10" t="s">
        <v>1617</v>
      </c>
    </row>
    <row r="258" spans="1:8" ht="32" customHeight="1">
      <c r="A258" s="10" t="s">
        <v>1612</v>
      </c>
      <c r="B258" s="10" t="s">
        <v>1777</v>
      </c>
      <c r="C258" s="10" t="s">
        <v>1803</v>
      </c>
      <c r="D258" s="9">
        <v>1</v>
      </c>
      <c r="E258" s="10" t="s">
        <v>1615</v>
      </c>
      <c r="F258" s="9">
        <v>1</v>
      </c>
      <c r="G258" s="10" t="s">
        <v>1616</v>
      </c>
      <c r="H258" s="10" t="s">
        <v>1617</v>
      </c>
    </row>
    <row r="259" spans="1:8" ht="32" customHeight="1">
      <c r="A259" s="10" t="s">
        <v>1612</v>
      </c>
      <c r="B259" s="10" t="s">
        <v>1777</v>
      </c>
      <c r="C259" s="10" t="s">
        <v>1804</v>
      </c>
      <c r="D259" s="9">
        <v>4</v>
      </c>
      <c r="E259" s="10" t="s">
        <v>1615</v>
      </c>
      <c r="F259" s="9">
        <v>4</v>
      </c>
      <c r="G259" s="10" t="s">
        <v>1616</v>
      </c>
      <c r="H259" s="10" t="s">
        <v>1617</v>
      </c>
    </row>
    <row r="260" spans="1:8" ht="32" customHeight="1">
      <c r="A260" s="10" t="s">
        <v>1612</v>
      </c>
      <c r="B260" s="10" t="s">
        <v>1777</v>
      </c>
      <c r="C260" s="10" t="s">
        <v>1805</v>
      </c>
      <c r="D260" s="9">
        <v>16</v>
      </c>
      <c r="E260" s="10" t="s">
        <v>1615</v>
      </c>
      <c r="F260" s="9">
        <v>16</v>
      </c>
      <c r="G260" s="10" t="s">
        <v>1616</v>
      </c>
      <c r="H260" s="10" t="s">
        <v>1617</v>
      </c>
    </row>
    <row r="261" spans="1:8" ht="32" customHeight="1">
      <c r="A261" s="10" t="s">
        <v>1612</v>
      </c>
      <c r="B261" s="10" t="s">
        <v>1777</v>
      </c>
      <c r="C261" s="10" t="s">
        <v>1806</v>
      </c>
      <c r="D261" s="9">
        <v>57</v>
      </c>
      <c r="E261" s="10" t="s">
        <v>1615</v>
      </c>
      <c r="F261" s="9">
        <v>57</v>
      </c>
      <c r="G261" s="10" t="s">
        <v>1616</v>
      </c>
      <c r="H261" s="10" t="s">
        <v>1617</v>
      </c>
    </row>
    <row r="262" spans="1:8" ht="32" customHeight="1">
      <c r="A262" s="10" t="s">
        <v>1612</v>
      </c>
      <c r="B262" s="10" t="s">
        <v>1777</v>
      </c>
      <c r="C262" s="10" t="s">
        <v>1807</v>
      </c>
      <c r="D262" s="9">
        <v>26</v>
      </c>
      <c r="E262" s="10" t="s">
        <v>1615</v>
      </c>
      <c r="F262" s="9">
        <v>26</v>
      </c>
      <c r="G262" s="10" t="s">
        <v>1616</v>
      </c>
      <c r="H262" s="10" t="s">
        <v>1617</v>
      </c>
    </row>
    <row r="263" spans="1:8" ht="32" customHeight="1">
      <c r="A263" s="10" t="s">
        <v>1612</v>
      </c>
      <c r="B263" s="10" t="s">
        <v>1777</v>
      </c>
      <c r="C263" s="10" t="s">
        <v>1808</v>
      </c>
      <c r="D263" s="9">
        <v>2</v>
      </c>
      <c r="E263" s="10" t="s">
        <v>1615</v>
      </c>
      <c r="F263" s="9">
        <v>2</v>
      </c>
      <c r="G263" s="10" t="s">
        <v>1616</v>
      </c>
      <c r="H263" s="10" t="s">
        <v>1617</v>
      </c>
    </row>
    <row r="264" spans="1:8" ht="32" customHeight="1">
      <c r="A264" s="10" t="s">
        <v>1612</v>
      </c>
      <c r="B264" s="10" t="s">
        <v>1777</v>
      </c>
      <c r="C264" s="10" t="s">
        <v>1809</v>
      </c>
      <c r="D264" s="9">
        <v>1</v>
      </c>
      <c r="E264" s="10" t="s">
        <v>1615</v>
      </c>
      <c r="F264" s="9">
        <v>1</v>
      </c>
      <c r="G264" s="10" t="s">
        <v>1616</v>
      </c>
      <c r="H264" s="10" t="s">
        <v>1617</v>
      </c>
    </row>
    <row r="265" spans="1:8" ht="32" customHeight="1">
      <c r="A265" s="10" t="s">
        <v>1612</v>
      </c>
      <c r="B265" s="10" t="s">
        <v>1777</v>
      </c>
      <c r="C265" s="10" t="s">
        <v>1810</v>
      </c>
      <c r="D265" s="9">
        <v>5</v>
      </c>
      <c r="E265" s="10" t="s">
        <v>1615</v>
      </c>
      <c r="F265" s="9">
        <v>5</v>
      </c>
      <c r="G265" s="10" t="s">
        <v>1616</v>
      </c>
      <c r="H265" s="10" t="s">
        <v>1617</v>
      </c>
    </row>
    <row r="266" spans="1:8" ht="32" customHeight="1">
      <c r="A266" s="10" t="s">
        <v>1612</v>
      </c>
      <c r="B266" s="10" t="s">
        <v>1777</v>
      </c>
      <c r="C266" s="10" t="s">
        <v>1811</v>
      </c>
      <c r="D266" s="9">
        <v>11</v>
      </c>
      <c r="E266" s="10" t="s">
        <v>1615</v>
      </c>
      <c r="F266" s="9">
        <v>11</v>
      </c>
      <c r="G266" s="10" t="s">
        <v>1616</v>
      </c>
      <c r="H266" s="10" t="s">
        <v>1617</v>
      </c>
    </row>
    <row r="267" spans="1:8" ht="32" customHeight="1">
      <c r="A267" s="10" t="s">
        <v>1612</v>
      </c>
      <c r="B267" s="10" t="s">
        <v>1777</v>
      </c>
      <c r="C267" s="10" t="s">
        <v>1812</v>
      </c>
      <c r="D267" s="9">
        <v>1</v>
      </c>
      <c r="E267" s="10" t="s">
        <v>1615</v>
      </c>
      <c r="F267" s="9">
        <v>1</v>
      </c>
      <c r="G267" s="10" t="s">
        <v>1616</v>
      </c>
      <c r="H267" s="10" t="s">
        <v>1617</v>
      </c>
    </row>
    <row r="268" spans="1:8" ht="32" customHeight="1">
      <c r="A268" s="10" t="s">
        <v>1612</v>
      </c>
      <c r="B268" s="10" t="s">
        <v>1777</v>
      </c>
      <c r="C268" s="10" t="s">
        <v>1603</v>
      </c>
      <c r="D268" s="9">
        <v>82</v>
      </c>
      <c r="E268" s="10" t="s">
        <v>1615</v>
      </c>
      <c r="F268" s="9">
        <v>82</v>
      </c>
      <c r="G268" s="10" t="s">
        <v>1616</v>
      </c>
      <c r="H268" s="10" t="s">
        <v>1617</v>
      </c>
    </row>
    <row r="269" spans="1:8" ht="32" customHeight="1">
      <c r="A269" s="10" t="s">
        <v>1612</v>
      </c>
      <c r="B269" s="10" t="s">
        <v>1777</v>
      </c>
      <c r="C269" s="10" t="s">
        <v>1813</v>
      </c>
      <c r="D269" s="9">
        <v>4</v>
      </c>
      <c r="E269" s="10" t="s">
        <v>1615</v>
      </c>
      <c r="F269" s="9">
        <v>4</v>
      </c>
      <c r="G269" s="10" t="s">
        <v>1616</v>
      </c>
      <c r="H269" s="10" t="s">
        <v>1617</v>
      </c>
    </row>
    <row r="270" spans="1:8" ht="32" customHeight="1">
      <c r="A270" s="10" t="s">
        <v>1612</v>
      </c>
      <c r="B270" s="10" t="s">
        <v>1777</v>
      </c>
      <c r="C270" s="10" t="s">
        <v>1814</v>
      </c>
      <c r="D270" s="9">
        <v>30</v>
      </c>
      <c r="E270" s="10" t="s">
        <v>1615</v>
      </c>
      <c r="F270" s="9">
        <v>30</v>
      </c>
      <c r="G270" s="10" t="s">
        <v>1616</v>
      </c>
      <c r="H270" s="10" t="s">
        <v>1617</v>
      </c>
    </row>
    <row r="271" spans="1:8" ht="32" customHeight="1">
      <c r="A271" s="10" t="s">
        <v>1612</v>
      </c>
      <c r="B271" s="10" t="s">
        <v>1777</v>
      </c>
      <c r="C271" s="10" t="s">
        <v>1815</v>
      </c>
      <c r="D271" s="9">
        <v>5</v>
      </c>
      <c r="E271" s="10" t="s">
        <v>1615</v>
      </c>
      <c r="F271" s="9">
        <v>5</v>
      </c>
      <c r="G271" s="10" t="s">
        <v>1616</v>
      </c>
      <c r="H271" s="10" t="s">
        <v>1617</v>
      </c>
    </row>
    <row r="272" spans="1:8" ht="32" customHeight="1">
      <c r="A272" s="10" t="s">
        <v>1612</v>
      </c>
      <c r="B272" s="10" t="s">
        <v>1777</v>
      </c>
      <c r="C272" s="10" t="s">
        <v>1816</v>
      </c>
      <c r="D272" s="9">
        <v>37</v>
      </c>
      <c r="E272" s="10" t="s">
        <v>1615</v>
      </c>
      <c r="F272" s="9">
        <v>37</v>
      </c>
      <c r="G272" s="10" t="s">
        <v>1616</v>
      </c>
      <c r="H272" s="10" t="s">
        <v>1617</v>
      </c>
    </row>
    <row r="273" spans="1:8" ht="32" customHeight="1">
      <c r="A273" s="10" t="s">
        <v>1612</v>
      </c>
      <c r="B273" s="10" t="s">
        <v>1777</v>
      </c>
      <c r="C273" s="10" t="s">
        <v>1817</v>
      </c>
      <c r="D273" s="9">
        <v>2</v>
      </c>
      <c r="E273" s="10" t="s">
        <v>1615</v>
      </c>
      <c r="F273" s="9">
        <v>2</v>
      </c>
      <c r="G273" s="10" t="s">
        <v>1616</v>
      </c>
      <c r="H273" s="10" t="s">
        <v>1617</v>
      </c>
    </row>
    <row r="274" spans="1:8" ht="32" customHeight="1">
      <c r="A274" s="10" t="s">
        <v>1612</v>
      </c>
      <c r="B274" s="10" t="s">
        <v>1777</v>
      </c>
      <c r="C274" s="10" t="s">
        <v>1818</v>
      </c>
      <c r="D274" s="9">
        <v>36</v>
      </c>
      <c r="E274" s="10" t="s">
        <v>1615</v>
      </c>
      <c r="F274" s="9">
        <v>36</v>
      </c>
      <c r="G274" s="10" t="s">
        <v>1616</v>
      </c>
      <c r="H274" s="10" t="s">
        <v>1617</v>
      </c>
    </row>
    <row r="275" spans="1:8" ht="32" customHeight="1">
      <c r="A275" s="10" t="s">
        <v>1612</v>
      </c>
      <c r="B275" s="10" t="s">
        <v>1777</v>
      </c>
      <c r="C275" s="10" t="s">
        <v>1819</v>
      </c>
      <c r="D275" s="9">
        <v>1</v>
      </c>
      <c r="E275" s="10" t="s">
        <v>1615</v>
      </c>
      <c r="F275" s="9">
        <v>1</v>
      </c>
      <c r="G275" s="10" t="s">
        <v>1616</v>
      </c>
      <c r="H275" s="10" t="s">
        <v>1617</v>
      </c>
    </row>
    <row r="276" spans="1:8" ht="32" customHeight="1">
      <c r="A276" s="10" t="s">
        <v>1612</v>
      </c>
      <c r="B276" s="10" t="s">
        <v>1777</v>
      </c>
      <c r="C276" s="10" t="s">
        <v>1820</v>
      </c>
      <c r="D276" s="9">
        <v>2</v>
      </c>
      <c r="E276" s="10" t="s">
        <v>1615</v>
      </c>
      <c r="F276" s="9">
        <v>2</v>
      </c>
      <c r="G276" s="10" t="s">
        <v>1616</v>
      </c>
      <c r="H276" s="10" t="s">
        <v>1617</v>
      </c>
    </row>
    <row r="277" spans="1:8" ht="32" customHeight="1">
      <c r="A277" s="10" t="s">
        <v>1612</v>
      </c>
      <c r="B277" s="10" t="s">
        <v>1777</v>
      </c>
      <c r="C277" s="10" t="s">
        <v>1821</v>
      </c>
      <c r="D277" s="9">
        <v>9</v>
      </c>
      <c r="E277" s="10" t="s">
        <v>1615</v>
      </c>
      <c r="F277" s="9">
        <v>9</v>
      </c>
      <c r="G277" s="10" t="s">
        <v>1616</v>
      </c>
      <c r="H277" s="10" t="s">
        <v>1617</v>
      </c>
    </row>
    <row r="278" spans="1:8" ht="32" customHeight="1">
      <c r="A278" s="10" t="s">
        <v>1612</v>
      </c>
      <c r="B278" s="10" t="s">
        <v>1777</v>
      </c>
      <c r="C278" s="10" t="s">
        <v>1822</v>
      </c>
      <c r="D278" s="9">
        <v>15</v>
      </c>
      <c r="E278" s="10" t="s">
        <v>1615</v>
      </c>
      <c r="F278" s="9">
        <v>15</v>
      </c>
      <c r="G278" s="10" t="s">
        <v>1616</v>
      </c>
      <c r="H278" s="10" t="s">
        <v>1617</v>
      </c>
    </row>
    <row r="279" spans="1:8" ht="32" customHeight="1">
      <c r="A279" s="10" t="s">
        <v>1612</v>
      </c>
      <c r="B279" s="10" t="s">
        <v>1823</v>
      </c>
      <c r="C279" s="10" t="s">
        <v>1824</v>
      </c>
      <c r="D279" s="9">
        <v>12</v>
      </c>
      <c r="E279" s="10" t="s">
        <v>1615</v>
      </c>
      <c r="F279" s="9">
        <v>12</v>
      </c>
      <c r="G279" s="10" t="s">
        <v>1616</v>
      </c>
      <c r="H279" s="10" t="s">
        <v>1617</v>
      </c>
    </row>
    <row r="280" spans="1:8" ht="32" customHeight="1">
      <c r="A280" s="10" t="s">
        <v>1612</v>
      </c>
      <c r="B280" s="10" t="s">
        <v>1823</v>
      </c>
      <c r="C280" s="10" t="s">
        <v>1825</v>
      </c>
      <c r="D280" s="9">
        <v>13</v>
      </c>
      <c r="E280" s="10" t="s">
        <v>1615</v>
      </c>
      <c r="F280" s="9">
        <v>13</v>
      </c>
      <c r="G280" s="10" t="s">
        <v>1616</v>
      </c>
      <c r="H280" s="10" t="s">
        <v>1617</v>
      </c>
    </row>
    <row r="281" spans="1:8" ht="32" customHeight="1">
      <c r="A281" s="10" t="s">
        <v>1612</v>
      </c>
      <c r="B281" s="10" t="s">
        <v>1823</v>
      </c>
      <c r="C281" s="10" t="s">
        <v>1826</v>
      </c>
      <c r="D281" s="9">
        <v>35</v>
      </c>
      <c r="E281" s="10" t="s">
        <v>1615</v>
      </c>
      <c r="F281" s="9">
        <v>35</v>
      </c>
      <c r="G281" s="10" t="s">
        <v>1616</v>
      </c>
      <c r="H281" s="10" t="s">
        <v>1617</v>
      </c>
    </row>
    <row r="282" spans="1:8" ht="32" customHeight="1">
      <c r="A282" s="10" t="s">
        <v>1612</v>
      </c>
      <c r="B282" s="10" t="s">
        <v>1823</v>
      </c>
      <c r="C282" s="10" t="s">
        <v>1827</v>
      </c>
      <c r="D282" s="9">
        <v>15</v>
      </c>
      <c r="E282" s="10" t="s">
        <v>1615</v>
      </c>
      <c r="F282" s="9">
        <v>15</v>
      </c>
      <c r="G282" s="10" t="s">
        <v>1616</v>
      </c>
      <c r="H282" s="10" t="s">
        <v>1617</v>
      </c>
    </row>
    <row r="283" spans="1:8" ht="32" customHeight="1">
      <c r="A283" s="10" t="s">
        <v>1612</v>
      </c>
      <c r="B283" s="10" t="s">
        <v>1828</v>
      </c>
      <c r="C283" s="10" t="s">
        <v>1829</v>
      </c>
      <c r="D283" s="9">
        <v>124</v>
      </c>
      <c r="E283" s="10" t="s">
        <v>1615</v>
      </c>
      <c r="F283" s="9">
        <v>124</v>
      </c>
      <c r="G283" s="10" t="s">
        <v>1616</v>
      </c>
      <c r="H283" s="10" t="s">
        <v>1617</v>
      </c>
    </row>
    <row r="284" spans="1:8" ht="32" customHeight="1">
      <c r="A284" s="10" t="s">
        <v>1612</v>
      </c>
      <c r="B284" s="10" t="s">
        <v>1830</v>
      </c>
      <c r="C284" s="10" t="s">
        <v>1831</v>
      </c>
      <c r="D284" s="9">
        <v>63</v>
      </c>
      <c r="E284" s="10" t="s">
        <v>1615</v>
      </c>
      <c r="F284" s="9">
        <v>63</v>
      </c>
      <c r="G284" s="10" t="s">
        <v>1616</v>
      </c>
      <c r="H284" s="10" t="s">
        <v>1617</v>
      </c>
    </row>
    <row r="285" spans="1:8" ht="32" customHeight="1">
      <c r="A285" s="10" t="s">
        <v>1612</v>
      </c>
      <c r="B285" s="10" t="s">
        <v>1830</v>
      </c>
      <c r="C285" s="10" t="s">
        <v>1832</v>
      </c>
      <c r="D285" s="9">
        <v>113</v>
      </c>
      <c r="E285" s="10" t="s">
        <v>1615</v>
      </c>
      <c r="F285" s="9">
        <v>113</v>
      </c>
      <c r="G285" s="10" t="s">
        <v>1616</v>
      </c>
      <c r="H285" s="10" t="s">
        <v>1617</v>
      </c>
    </row>
    <row r="286" spans="1:8" ht="32" customHeight="1">
      <c r="A286" s="10" t="s">
        <v>1612</v>
      </c>
      <c r="B286" s="10" t="s">
        <v>1830</v>
      </c>
      <c r="C286" s="10" t="s">
        <v>1833</v>
      </c>
      <c r="D286" s="9">
        <v>10</v>
      </c>
      <c r="E286" s="10" t="s">
        <v>1615</v>
      </c>
      <c r="F286" s="9">
        <v>10</v>
      </c>
      <c r="G286" s="10" t="s">
        <v>1616</v>
      </c>
      <c r="H286" s="10" t="s">
        <v>1617</v>
      </c>
    </row>
  </sheetData>
  <pageMargins left="0.7" right="0.7" top="0.75" bottom="0.75" header="0.3" footer="0.3"/>
  <headerFooter>
    <oddHeader>&amp;L&amp;"Aptos"&amp;8&amp;K000000 CONFIDENTIAL&amp;1#_x000D_&amp;C&amp;G</oddHeader>
    <oddFooter>&amp;L_x000D_&amp;1#&amp;"Aptos"&amp;9&amp;K000000 This document contains confidential company information. Do not share externally.</oddFooter>
  </headerFooter>
  <legacyDrawingHF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Meals</vt:lpstr>
      <vt:lpstr>Category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El Khoudary</cp:lastModifiedBy>
  <dcterms:created xsi:type="dcterms:W3CDTF">2026-10-07T22:14:09Z</dcterms:created>
  <dcterms:modified xsi:type="dcterms:W3CDTF">2026-10-07T22:14:09Z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84ae7e-dabc-4097-935d-2e5f87bcf45a_Enabled">
    <vt:lpwstr>true</vt:lpwstr>
  </property>
  <property fmtid="{D5CDD505-2E9C-101B-9397-08002B2CF9AE}" pid="3" name="MSIP_Label_8784ae7e-dabc-4097-935d-2e5f87bcf45a_SetDate">
    <vt:lpwstr>2026-10-07T22:14:04Z</vt:lpwstr>
  </property>
  <property fmtid="{D5CDD505-2E9C-101B-9397-08002B2CF9AE}" pid="4" name="MSIP_Label_8784ae7e-dabc-4097-935d-2e5f87bcf45a_Method">
    <vt:lpwstr>Standard</vt:lpwstr>
  </property>
  <property fmtid="{D5CDD505-2E9C-101B-9397-08002B2CF9AE}" pid="5" name="MSIP_Label_8784ae7e-dabc-4097-935d-2e5f87bcf45a_Name">
    <vt:lpwstr>Confidential</vt:lpwstr>
  </property>
  <property fmtid="{D5CDD505-2E9C-101B-9397-08002B2CF9AE}" pid="6" name="MSIP_Label_8784ae7e-dabc-4097-935d-2e5f87bcf45a_SiteId">
    <vt:lpwstr>281dc0f9-3bae-4527-b287-9e70ffe678ae</vt:lpwstr>
  </property>
  <property fmtid="{D5CDD505-2E9C-101B-9397-08002B2CF9AE}" pid="7" name="MSIP_Label_8784ae7e-dabc-4097-935d-2e5f87bcf45a_ActionId">
    <vt:lpwstr>db42eba5-0ce9-47ab-97c5-824b3eb730b8</vt:lpwstr>
  </property>
  <property fmtid="{D5CDD505-2E9C-101B-9397-08002B2CF9AE}" pid="8" name="MSIP_Label_8784ae7e-dabc-4097-935d-2e5f87bcf45a_ContentBits">
    <vt:lpwstr>7</vt:lpwstr>
  </property>
  <property fmtid="{D5CDD505-2E9C-101B-9397-08002B2CF9AE}" pid="9" name="MSIP_Label_8784ae7e-dabc-4097-935d-2e5f87bcf45a_Tag">
    <vt:lpwstr>50, 3, 0, 1</vt:lpwstr>
  </property>
</Properties>
</file>